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e73fffc82644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vant-Après" sheetId="1" r:id="R45ba795ab38e49bd"/>
    <x:sheet xmlns:r="http://schemas.openxmlformats.org/officeDocument/2006/relationships" name="Calculs" sheetId="2" r:id="R86b3cee58eb241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%"/>
    <x:numFmt numFmtId="201" formatCode="0%"/>
    <x:numFmt numFmtId="202" formatCode="0.00"/>
    <x:numFmt numFmtId="203" formatCode="0.0 &quot;u/j&quot;"/>
    <x:numFmt numFmtId="204" formatCode="0.0%"/>
  </x:numFmts>
  <x:fonts count="17">
    <x:font>
      <x:sz val="11"/>
      <x:name val="Carlito"/>
    </x:font>
    <x:font>
      <x:b/>
      <x:sz val="15"/>
      <x:color rgb="FF0A1F33"/>
      <x:name val="Arial"/>
    </x:font>
    <x:font>
      <x:i/>
      <x:sz val="10"/>
      <x:color rgb="FF52616B"/>
      <x:name val="Arial"/>
    </x:font>
    <x:font>
      <x:b/>
      <x:sz val="10"/>
      <x:color rgb="FF0A1F33"/>
      <x:name val="Arial"/>
    </x:font>
    <x:font>
      <x:b/>
      <x:sz val="10"/>
      <x:color rgb="FFFFFFFF"/>
      <x:name val="Arial"/>
    </x:font>
    <x:font>
      <x:sz val="10"/>
      <x:color rgb="FF16202A"/>
      <x:name val="Arial"/>
    </x:font>
    <x:font>
      <x:b/>
      <x:sz val="10"/>
      <x:color rgb="FFB45309"/>
      <x:name val="Arial"/>
    </x:font>
    <x:font>
      <x:b/>
      <x:sz val="16"/>
      <x:color rgb="FF0A1F33"/>
      <x:name val="Arial"/>
    </x:font>
    <x:font>
      <x:b/>
      <x:sz val="9"/>
      <x:color rgb="FF52616B"/>
      <x:name val="Arial"/>
    </x:font>
    <x:font>
      <x:b/>
      <x:sz val="15"/>
      <x:color rgb="FF0F766E"/>
      <x:name val="Arial"/>
    </x:font>
    <x:font>
      <x:b/>
      <x:sz val="15"/>
      <x:color rgb="FF1F4E78"/>
      <x:name val="Arial"/>
    </x:font>
    <x:font>
      <x:b/>
      <x:sz val="15"/>
      <x:color rgb="FFB45309"/>
      <x:name val="Arial"/>
    </x:font>
    <x:font>
      <x:i/>
      <x:sz val="9"/>
      <x:color rgb="FF52616B"/>
      <x:name val="Arial"/>
    </x:font>
    <x:font>
      <x:b/>
      <x:sz val="10"/>
      <x:color rgb="FF15803D"/>
      <x:name val="Arial"/>
    </x:font>
    <x:font>
      <x:sz val="11"/>
      <x:name val="Arial"/>
    </x:font>
    <x:font>
      <x:sz val="10"/>
      <x:color rgb="FF475569"/>
      <x:name val="Arial"/>
    </x:font>
    <x:font>
      <x:b/>
      <x:sz val="10"/>
      <x:color rgb="FF475569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0A1F33"/>
      </x:patternFill>
    </x:fill>
    <x:fill>
      <x:patternFill patternType="solid">
        <x:fgColor rgb="FFFFF7E6"/>
      </x:patternFill>
    </x:fill>
    <x:fill>
      <x:patternFill patternType="solid">
        <x:fgColor rgb="FFF4F7FA"/>
      </x:patternFill>
    </x:fill>
    <x:fill>
      <x:patternFill patternType="solid">
        <x:fgColor rgb="FFFFFFFF"/>
      </x:patternFill>
    </x:fill>
    <x:fill>
      <x:patternFill patternType="solid">
        <x:fgColor rgb="FFDCFCE7"/>
      </x:patternFill>
    </x:fill>
    <x:fill>
      <x:patternFill patternType="solid">
        <x:fgColor rgb="FFF1F5F9"/>
      </x:patternFill>
    </x:fill>
  </x:fills>
  <x:borders count="22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CBD5E1"/>
      </x:bottom>
    </x:border>
    <x:border>
      <x:left style="thin">
        <x:color rgb="FFF59E0B"/>
      </x:left>
      <x:top style="thin">
        <x:color rgb="FFF59E0B"/>
      </x:top>
      <x:bottom style="thin">
        <x:color rgb="FFF59E0B"/>
      </x:bottom>
    </x:border>
    <x:border>
      <x:top style="thin">
        <x:color rgb="FFF59E0B"/>
      </x:top>
      <x:bottom style="thin">
        <x:color rgb="FFF59E0B"/>
      </x:bottom>
    </x:border>
    <x:border>
      <x:right style="thin">
        <x:color rgb="FFF59E0B"/>
      </x:right>
      <x:top style="thin">
        <x:color rgb="FFF59E0B"/>
      </x:top>
      <x:bottom style="thin">
        <x:color rgb="FFF59E0B"/>
      </x:bottom>
    </x:border>
    <x:border>
      <x:left style="thin">
        <x:color rgb="FFCBD5E1"/>
      </x:left>
      <x:top style="medium">
        <x:color rgb="FF0F766E"/>
      </x:top>
    </x:border>
    <x:border>
      <x:top style="medium">
        <x:color rgb="FF0F766E"/>
      </x:top>
    </x:border>
    <x:border>
      <x:right style="thin">
        <x:color rgb="FFCBD5E1"/>
      </x:right>
      <x:top style="medium">
        <x:color rgb="FF0F766E"/>
      </x:top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medium">
        <x:color rgb="FF1F4E78"/>
      </x:top>
    </x:border>
    <x:border>
      <x:top style="medium">
        <x:color rgb="FF1F4E78"/>
      </x:top>
    </x:border>
    <x:border>
      <x:right style="thin">
        <x:color rgb="FFCBD5E1"/>
      </x:right>
      <x:top style="medium">
        <x:color rgb="FF1F4E78"/>
      </x:top>
    </x:border>
    <x:border>
      <x:left style="thin">
        <x:color rgb="FFCBD5E1"/>
      </x:left>
      <x:top style="medium">
        <x:color rgb="FFB45309"/>
      </x:top>
    </x:border>
    <x:border>
      <x:top style="medium">
        <x:color rgb="FFB45309"/>
      </x:top>
    </x:border>
    <x:border>
      <x:right style="thin">
        <x:color rgb="FFCBD5E1"/>
      </x:right>
      <x:top style="medium">
        <x:color rgb="FFB45309"/>
      </x:top>
    </x:border>
  </x:borders>
  <x:cellStyleXfs count="1">
    <x:xf numFmtId="0" fontId="0" fillId="0" borderId="0"/>
  </x:cellStyleXfs>
  <x:cellXfs count="14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4" xfId="0" applyNumberFormat="1" applyFont="1" applyFill="1" applyBorder="1" applyAlignment="1">
      <x:alignment horizontal="center"/>
    </x:xf>
    <x:xf numFmtId="0" fontId="4" fillId="3" borderId="5" xfId="0" applyNumberFormat="1" applyFont="1" applyFill="1" applyBorder="1" applyAlignment="1">
      <x:alignment horizontal="center"/>
    </x:xf>
    <x:xf numFmtId="0" fontId="4" fillId="3" borderId="6" xfId="0" applyNumberFormat="1" applyFont="1" applyFill="1" applyBorder="1" applyAlignment="1">
      <x:alignment horizontal="center"/>
    </x:xf>
    <x:xf numFmtId="0" fontId="4" fillId="3" borderId="4" xfId="0" applyNumberFormat="1" applyFont="1" applyFill="1" applyBorder="1" applyAlignment="1">
      <x:alignment horizontal="center" vertical="center"/>
    </x:xf>
    <x:xf numFmtId="0" fontId="4" fillId="3" borderId="5" xfId="0" applyNumberFormat="1" applyFont="1" applyFill="1" applyBorder="1" applyAlignment="1">
      <x:alignment horizontal="center" vertical="center"/>
    </x:xf>
    <x:xf numFmtId="0" fontId="4" fillId="3" borderId="6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7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right" vertical="center"/>
    </x:xf>
    <x:xf numFmtId="0" fontId="5" fillId="0" borderId="7" xfId="0" applyNumberFormat="1" applyFont="1" applyFill="1" applyBorder="1" applyAlignment="1">
      <x:alignment horizontal="right" vertical="center"/>
    </x:xf>
    <x:xf numFmtId="200" fontId="5" fillId="0" borderId="0" xfId="0" applyNumberFormat="1" applyFont="1" applyFill="1" applyBorder="1" applyAlignment="1">
      <x:alignment horizontal="right" vertical="center"/>
    </x:xf>
    <x:xf numFmtId="201" fontId="5" fillId="0" borderId="0" xfId="0" applyNumberFormat="1" applyFont="1" applyFill="1" applyBorder="1" applyAlignment="1">
      <x:alignment horizontal="right" vertical="center"/>
    </x:xf>
    <x:xf numFmtId="202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5" fillId="0" borderId="7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8" xfId="0" applyNumberFormat="1" applyFont="1" applyFill="1" applyBorder="1"/>
    <x:xf numFmtId="0" fontId="6" fillId="4" borderId="9" xfId="0" applyNumberFormat="1" applyFont="1" applyFill="1" applyBorder="1"/>
    <x:xf numFmtId="0" fontId="6" fillId="4" borderId="10" xfId="0" applyNumberFormat="1" applyFont="1" applyFill="1" applyBorder="1"/>
    <x:xf numFmtId="0" fontId="6" fillId="4" borderId="8" xfId="0" applyNumberFormat="1" applyFont="1" applyFill="1" applyBorder="1" applyAlignment="1">
      <x:alignment wrapText="1"/>
    </x:xf>
    <x:xf numFmtId="0" fontId="6" fillId="4" borderId="9" xfId="0" applyNumberFormat="1" applyFont="1" applyFill="1" applyBorder="1" applyAlignment="1">
      <x:alignment wrapText="1"/>
    </x:xf>
    <x:xf numFmtId="0" fontId="6" fillId="4" borderId="1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11" xfId="0" applyNumberFormat="1" applyFont="1" applyFill="1" applyBorder="1"/>
    <x:xf numFmtId="0" fontId="8" fillId="5" borderId="12" xfId="0" applyNumberFormat="1" applyFont="1" applyFill="1" applyBorder="1"/>
    <x:xf numFmtId="0" fontId="8" fillId="5" borderId="13" xfId="0" applyNumberFormat="1" applyFont="1" applyFill="1" applyBorder="1"/>
    <x:xf numFmtId="0" fontId="8" fillId="5" borderId="11" xfId="0" applyNumberFormat="1" applyFont="1" applyFill="1" applyBorder="1" applyAlignment="1">
      <x:alignment horizontal="center"/>
    </x:xf>
    <x:xf numFmtId="0" fontId="8" fillId="5" borderId="12" xfId="0" applyNumberFormat="1" applyFont="1" applyFill="1" applyBorder="1" applyAlignment="1">
      <x:alignment horizontal="center"/>
    </x:xf>
    <x:xf numFmtId="0" fontId="8" fillId="5" borderId="13" xfId="0" applyNumberFormat="1" applyFont="1" applyFill="1" applyBorder="1" applyAlignment="1">
      <x:alignment horizontal="center"/>
    </x:xf>
    <x:xf numFmtId="0" fontId="8" fillId="5" borderId="11" xfId="0" applyNumberFormat="1" applyFont="1" applyFill="1" applyBorder="1" applyAlignment="1">
      <x:alignment horizontal="center" vertical="center"/>
    </x:xf>
    <x:xf numFmtId="0" fontId="8" fillId="5" borderId="12" xfId="0" applyNumberFormat="1" applyFont="1" applyFill="1" applyBorder="1" applyAlignment="1">
      <x:alignment horizontal="center" vertical="center"/>
    </x:xf>
    <x:xf numFmtId="0" fontId="8" fillId="5" borderId="13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14" xfId="0" applyNumberFormat="1" applyFont="1" applyFill="1" applyBorder="1"/>
    <x:xf numFmtId="0" fontId="9" fillId="6" borderId="7" xfId="0" applyNumberFormat="1" applyFont="1" applyFill="1" applyBorder="1"/>
    <x:xf numFmtId="0" fontId="9" fillId="6" borderId="15" xfId="0" applyNumberFormat="1" applyFont="1" applyFill="1" applyBorder="1"/>
    <x:xf numFmtId="203" fontId="9" fillId="6" borderId="14" xfId="0" applyNumberFormat="1" applyFont="1" applyFill="1" applyBorder="1"/>
    <x:xf numFmtId="203" fontId="9" fillId="6" borderId="7" xfId="0" applyNumberFormat="1" applyFont="1" applyFill="1" applyBorder="1"/>
    <x:xf numFmtId="203" fontId="9" fillId="6" borderId="15" xfId="0" applyNumberFormat="1" applyFont="1" applyFill="1" applyBorder="1"/>
    <x:xf numFmtId="203" fontId="9" fillId="6" borderId="14" xfId="0" applyNumberFormat="1" applyFont="1" applyFill="1" applyBorder="1" applyAlignment="1">
      <x:alignment horizontal="center"/>
    </x:xf>
    <x:xf numFmtId="203" fontId="9" fillId="6" borderId="7" xfId="0" applyNumberFormat="1" applyFont="1" applyFill="1" applyBorder="1" applyAlignment="1">
      <x:alignment horizontal="center"/>
    </x:xf>
    <x:xf numFmtId="203" fontId="9" fillId="6" borderId="15" xfId="0" applyNumberFormat="1" applyFont="1" applyFill="1" applyBorder="1" applyAlignment="1">
      <x:alignment horizontal="center"/>
    </x:xf>
    <x:xf numFmtId="203" fontId="9" fillId="6" borderId="14" xfId="0" applyNumberFormat="1" applyFont="1" applyFill="1" applyBorder="1" applyAlignment="1">
      <x:alignment horizontal="center" vertical="center"/>
    </x:xf>
    <x:xf numFmtId="203" fontId="9" fillId="6" borderId="7" xfId="0" applyNumberFormat="1" applyFont="1" applyFill="1" applyBorder="1" applyAlignment="1">
      <x:alignment horizontal="center" vertical="center"/>
    </x:xf>
    <x:xf numFmtId="203" fontId="9" fillId="6" borderId="15" xfId="0" applyNumberFormat="1" applyFont="1" applyFill="1" applyBorder="1" applyAlignment="1">
      <x:alignment horizontal="center" vertical="center"/>
    </x:xf>
    <x:xf numFmtId="0" fontId="8" fillId="5" borderId="16" xfId="0" applyNumberFormat="1" applyFont="1" applyFill="1" applyBorder="1"/>
    <x:xf numFmtId="0" fontId="8" fillId="5" borderId="17" xfId="0" applyNumberFormat="1" applyFont="1" applyFill="1" applyBorder="1"/>
    <x:xf numFmtId="0" fontId="8" fillId="5" borderId="18" xfId="0" applyNumberFormat="1" applyFont="1" applyFill="1" applyBorder="1"/>
    <x:xf numFmtId="0" fontId="8" fillId="5" borderId="16" xfId="0" applyNumberFormat="1" applyFont="1" applyFill="1" applyBorder="1" applyAlignment="1">
      <x:alignment horizontal="center"/>
    </x:xf>
    <x:xf numFmtId="0" fontId="8" fillId="5" borderId="17" xfId="0" applyNumberFormat="1" applyFont="1" applyFill="1" applyBorder="1" applyAlignment="1">
      <x:alignment horizontal="center"/>
    </x:xf>
    <x:xf numFmtId="0" fontId="8" fillId="5" borderId="18" xfId="0" applyNumberFormat="1" applyFont="1" applyFill="1" applyBorder="1" applyAlignment="1">
      <x:alignment horizontal="center"/>
    </x:xf>
    <x:xf numFmtId="0" fontId="8" fillId="5" borderId="16" xfId="0" applyNumberFormat="1" applyFont="1" applyFill="1" applyBorder="1" applyAlignment="1">
      <x:alignment horizontal="center" vertical="center"/>
    </x:xf>
    <x:xf numFmtId="0" fontId="8" fillId="5" borderId="17" xfId="0" applyNumberFormat="1" applyFont="1" applyFill="1" applyBorder="1" applyAlignment="1">
      <x:alignment horizontal="center" vertical="center"/>
    </x:xf>
    <x:xf numFmtId="0" fontId="8" fillId="5" borderId="18" xfId="0" applyNumberFormat="1" applyFont="1" applyFill="1" applyBorder="1" applyAlignment="1">
      <x:alignment horizontal="center" vertical="center"/>
    </x:xf>
    <x:xf numFmtId="0" fontId="10" fillId="6" borderId="0" xfId="0" applyNumberFormat="1" applyFont="1" applyFill="1" applyBorder="1"/>
    <x:xf numFmtId="0" fontId="10" fillId="6" borderId="14" xfId="0" applyNumberFormat="1" applyFont="1" applyFill="1" applyBorder="1"/>
    <x:xf numFmtId="0" fontId="10" fillId="6" borderId="7" xfId="0" applyNumberFormat="1" applyFont="1" applyFill="1" applyBorder="1"/>
    <x:xf numFmtId="0" fontId="10" fillId="6" borderId="15" xfId="0" applyNumberFormat="1" applyFont="1" applyFill="1" applyBorder="1"/>
    <x:xf numFmtId="204" fontId="10" fillId="6" borderId="14" xfId="0" applyNumberFormat="1" applyFont="1" applyFill="1" applyBorder="1"/>
    <x:xf numFmtId="204" fontId="10" fillId="6" borderId="7" xfId="0" applyNumberFormat="1" applyFont="1" applyFill="1" applyBorder="1"/>
    <x:xf numFmtId="204" fontId="10" fillId="6" borderId="15" xfId="0" applyNumberFormat="1" applyFont="1" applyFill="1" applyBorder="1"/>
    <x:xf numFmtId="204" fontId="10" fillId="6" borderId="14" xfId="0" applyNumberFormat="1" applyFont="1" applyFill="1" applyBorder="1" applyAlignment="1">
      <x:alignment horizontal="center"/>
    </x:xf>
    <x:xf numFmtId="204" fontId="10" fillId="6" borderId="7" xfId="0" applyNumberFormat="1" applyFont="1" applyFill="1" applyBorder="1" applyAlignment="1">
      <x:alignment horizontal="center"/>
    </x:xf>
    <x:xf numFmtId="204" fontId="10" fillId="6" borderId="15" xfId="0" applyNumberFormat="1" applyFont="1" applyFill="1" applyBorder="1" applyAlignment="1">
      <x:alignment horizontal="center"/>
    </x:xf>
    <x:xf numFmtId="204" fontId="10" fillId="6" borderId="14" xfId="0" applyNumberFormat="1" applyFont="1" applyFill="1" applyBorder="1" applyAlignment="1">
      <x:alignment horizontal="center" vertical="center"/>
    </x:xf>
    <x:xf numFmtId="204" fontId="10" fillId="6" borderId="7" xfId="0" applyNumberFormat="1" applyFont="1" applyFill="1" applyBorder="1" applyAlignment="1">
      <x:alignment horizontal="center" vertical="center"/>
    </x:xf>
    <x:xf numFmtId="204" fontId="10" fillId="6" borderId="15" xfId="0" applyNumberFormat="1" applyFont="1" applyFill="1" applyBorder="1" applyAlignment="1">
      <x:alignment horizontal="center" vertical="center"/>
    </x:xf>
    <x:xf numFmtId="0" fontId="8" fillId="5" borderId="19" xfId="0" applyNumberFormat="1" applyFont="1" applyFill="1" applyBorder="1"/>
    <x:xf numFmtId="0" fontId="8" fillId="5" borderId="20" xfId="0" applyNumberFormat="1" applyFont="1" applyFill="1" applyBorder="1"/>
    <x:xf numFmtId="0" fontId="8" fillId="5" borderId="21" xfId="0" applyNumberFormat="1" applyFont="1" applyFill="1" applyBorder="1"/>
    <x:xf numFmtId="0" fontId="8" fillId="5" borderId="19" xfId="0" applyNumberFormat="1" applyFont="1" applyFill="1" applyBorder="1" applyAlignment="1">
      <x:alignment horizontal="center"/>
    </x:xf>
    <x:xf numFmtId="0" fontId="8" fillId="5" borderId="20" xfId="0" applyNumberFormat="1" applyFont="1" applyFill="1" applyBorder="1" applyAlignment="1">
      <x:alignment horizontal="center"/>
    </x:xf>
    <x:xf numFmtId="0" fontId="8" fillId="5" borderId="21" xfId="0" applyNumberFormat="1" applyFont="1" applyFill="1" applyBorder="1" applyAlignment="1">
      <x:alignment horizontal="center"/>
    </x:xf>
    <x:xf numFmtId="0" fontId="8" fillId="5" borderId="19" xfId="0" applyNumberFormat="1" applyFont="1" applyFill="1" applyBorder="1" applyAlignment="1">
      <x:alignment horizontal="center" vertical="center"/>
    </x:xf>
    <x:xf numFmtId="0" fontId="8" fillId="5" borderId="20" xfId="0" applyNumberFormat="1" applyFont="1" applyFill="1" applyBorder="1" applyAlignment="1">
      <x:alignment horizontal="center" vertical="center"/>
    </x:xf>
    <x:xf numFmtId="0" fontId="8" fillId="5" borderId="21" xfId="0" applyNumberFormat="1" applyFont="1" applyFill="1" applyBorder="1" applyAlignment="1">
      <x:alignment horizontal="center" vertical="center"/>
    </x:xf>
    <x:xf numFmtId="0" fontId="11" fillId="6" borderId="0" xfId="0" applyNumberFormat="1" applyFont="1" applyFill="1" applyBorder="1"/>
    <x:xf numFmtId="0" fontId="11" fillId="6" borderId="14" xfId="0" applyNumberFormat="1" applyFont="1" applyFill="1" applyBorder="1"/>
    <x:xf numFmtId="0" fontId="11" fillId="6" borderId="7" xfId="0" applyNumberFormat="1" applyFont="1" applyFill="1" applyBorder="1"/>
    <x:xf numFmtId="0" fontId="11" fillId="6" borderId="15" xfId="0" applyNumberFormat="1" applyFont="1" applyFill="1" applyBorder="1"/>
    <x:xf numFmtId="203" fontId="11" fillId="6" borderId="14" xfId="0" applyNumberFormat="1" applyFont="1" applyFill="1" applyBorder="1"/>
    <x:xf numFmtId="203" fontId="11" fillId="6" borderId="7" xfId="0" applyNumberFormat="1" applyFont="1" applyFill="1" applyBorder="1"/>
    <x:xf numFmtId="203" fontId="11" fillId="6" borderId="15" xfId="0" applyNumberFormat="1" applyFont="1" applyFill="1" applyBorder="1"/>
    <x:xf numFmtId="203" fontId="11" fillId="6" borderId="14" xfId="0" applyNumberFormat="1" applyFont="1" applyFill="1" applyBorder="1" applyAlignment="1">
      <x:alignment horizontal="center"/>
    </x:xf>
    <x:xf numFmtId="203" fontId="11" fillId="6" borderId="7" xfId="0" applyNumberFormat="1" applyFont="1" applyFill="1" applyBorder="1" applyAlignment="1">
      <x:alignment horizontal="center"/>
    </x:xf>
    <x:xf numFmtId="203" fontId="11" fillId="6" borderId="15" xfId="0" applyNumberFormat="1" applyFont="1" applyFill="1" applyBorder="1" applyAlignment="1">
      <x:alignment horizontal="center"/>
    </x:xf>
    <x:xf numFmtId="203" fontId="11" fillId="6" borderId="14" xfId="0" applyNumberFormat="1" applyFont="1" applyFill="1" applyBorder="1" applyAlignment="1">
      <x:alignment horizontal="center" vertical="center"/>
    </x:xf>
    <x:xf numFmtId="203" fontId="11" fillId="6" borderId="7" xfId="0" applyNumberFormat="1" applyFont="1" applyFill="1" applyBorder="1" applyAlignment="1">
      <x:alignment horizontal="center" vertical="center"/>
    </x:xf>
    <x:xf numFmtId="203" fontId="11" fillId="6" borderId="15" xfId="0" applyNumberFormat="1" applyFont="1" applyFill="1" applyBorder="1" applyAlignment="1">
      <x:alignment horizontal="center" vertical="center"/>
    </x:xf>
    <x:xf numFmtId="0" fontId="12" fillId="0" borderId="0" xfId="0" applyNumberFormat="1" applyFont="1" applyFill="1" applyBorder="1" applyAlignment="1">
      <x:alignment vertical="center"/>
    </x:xf>
    <x:xf numFmtId="0" fontId="12" fillId="0" borderId="7" xfId="0" applyNumberFormat="1" applyFont="1" applyFill="1" applyBorder="1" applyAlignment="1">
      <x:alignment vertical="center"/>
    </x:xf>
    <x:xf numFmtId="202" fontId="5" fillId="0" borderId="7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0" fontId="5" fillId="7" borderId="7" xfId="0" applyNumberFormat="1" applyFont="1" applyFill="1" applyBorder="1" applyAlignment="1">
      <x:alignment vertical="center"/>
    </x:xf>
    <x:xf numFmtId="0" fontId="13" fillId="7" borderId="0" xfId="0" applyNumberFormat="1" applyFont="1" applyFill="1" applyBorder="1" applyAlignment="1">
      <x:alignment vertical="center"/>
    </x:xf>
    <x:xf numFmtId="0" fontId="13" fillId="7" borderId="7" xfId="0" applyNumberFormat="1" applyFont="1" applyFill="1" applyBorder="1" applyAlignment="1">
      <x:alignment vertical="center"/>
    </x:xf>
    <x:xf numFmtId="0" fontId="13" fillId="7" borderId="0" xfId="0" applyNumberFormat="1" applyFont="1" applyFill="1" applyBorder="1" applyAlignment="1">
      <x:alignment horizontal="center" vertical="center"/>
    </x:xf>
    <x:xf numFmtId="0" fontId="13" fillId="7" borderId="7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5" fillId="4" borderId="7" xfId="0" applyNumberFormat="1" applyFont="1" applyFill="1" applyBorder="1" applyAlignment="1">
      <x:alignment vertical="center"/>
    </x:xf>
    <x:xf numFmtId="0" fontId="6" fillId="4" borderId="7" xfId="0" applyNumberFormat="1" applyFont="1" applyFill="1" applyBorder="1" applyAlignment="1">
      <x:alignment vertical="center"/>
    </x:xf>
    <x:xf numFmtId="0" fontId="6" fillId="4" borderId="7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6" fillId="4" borderId="8" xfId="0" applyNumberFormat="1" applyFont="1" applyFill="1" applyBorder="1" applyAlignment="1">
      <x:alignment vertical="center" wrapText="1"/>
    </x:xf>
    <x:xf numFmtId="0" fontId="6" fillId="4" borderId="9" xfId="0" applyNumberFormat="1" applyFont="1" applyFill="1" applyBorder="1" applyAlignment="1">
      <x:alignment vertical="center" wrapText="1"/>
    </x:xf>
    <x:xf numFmtId="0" fontId="6" fillId="4" borderId="1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vertical="center" wrapText="1"/>
    </x:xf>
    <x:xf numFmtId="200" fontId="15" fillId="0" borderId="0" xfId="0" applyNumberFormat="1" applyFont="1" applyFill="1" applyBorder="1" applyAlignment="1">
      <x:alignment vertical="center"/>
    </x:xf>
    <x:xf numFmtId="0" fontId="16" fillId="7" borderId="0" xfId="0" applyNumberFormat="1" applyFont="1" applyFill="1" applyBorder="1" applyAlignment="1">
      <x:alignment horizontal="center" vertical="center"/>
    </x:xf>
    <x:xf numFmtId="0" fontId="16" fillId="8" borderId="0" xfId="0" applyNumberFormat="1" applyFont="1" applyFill="1" applyBorder="1" applyAlignment="1">
      <x:alignment horizontal="center" vertical="center"/>
    </x:xf>
    <x:xf numFmtId="200" fontId="15" fillId="0" borderId="0" xfId="0" applyNumberFormat="1" applyFont="1" applyFill="1" applyBorder="1" applyAlignment="1">
      <x:alignment horizontal="right" vertical="center"/>
    </x:xf>
    <x:xf numFmtId="200" fontId="5" fillId="0" borderId="7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1">
    <x:dxf>
      <x:font>
        <x:b/>
        <x:color rgb="FFB45309"/>
      </x:font>
      <x:fill>
        <x:patternFill>
          <x:bgColor rgb="FFFFF7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1435287272458a" /><Relationship Type="http://schemas.openxmlformats.org/officeDocument/2006/relationships/theme" Target="/xl/theme/theme1.xml" Id="R5eadb678a7314c6c" /><Relationship Type="http://schemas.openxmlformats.org/officeDocument/2006/relationships/sharedStrings" Target="/xl/sharedStrings.xml" Id="R7ec8f311b52b4075" /><Relationship Type="http://schemas.openxmlformats.org/officeDocument/2006/relationships/worksheet" Target="/xl/worksheets/sheet1.xml" Id="R45ba795ab38e49bd" /><Relationship Type="http://schemas.openxmlformats.org/officeDocument/2006/relationships/worksheet" Target="/xl/worksheets/sheet2.xml" Id="R86b3cee58eb2413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565302d1997490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Gains estimés hors TRS (%)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Gain normalisé</c:v>
          </c:tx>
          <c:spPr>
            <a:solidFill xmlns:a="http://schemas.openxmlformats.org/drawingml/2006/main">
              <a:srgbClr val="16A34A"/>
            </a:solidFill>
          </c:spPr>
          <c:cat>
            <c:strRef>
              <c:f>'Avant-Après'!$A$12:$A$15</c:f>
              <c:strCache>
                <c:ptCount val="0"/>
              </c:strCache>
            </c:strRef>
          </c:cat>
          <c:val>
            <c:numRef>
              <c:f>'Avant-Après'!$G$12:$G$15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8</xdr:row>
      <xdr:rowOff>0</xdr:rowOff>
    </xdr:from>
    <xdr:to>
      <xdr:col>17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65302d1997490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7ff45817ab647bd" /></Relationships>
</file>

<file path=xl/worksheets/sheet1.xml><?xml version="1.0" encoding="utf-8"?>
<x:worksheet xmlns:x="http://schemas.openxmlformats.org/spreadsheetml/2006/main">
  <x:sheetPr>
    <x:tabColor rgb="FF0A1F33"/>
  </x:sheetPr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2" hidden="0" customWidth="1"/>
    <x:col min="9" max="9" width="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>
      <x:c r="A1" s="126"/>
      <x:c r="B1" s="126"/>
      <x:c r="C1" s="126"/>
      <x:c r="D1" s="126"/>
      <x:c r="E1" s="126"/>
      <x:c r="F1" s="126"/>
      <x:c r="G1" s="126"/>
      <x:c r="H1" s="126"/>
      <x:c r="I1" s="126"/>
      <x:c r="J1" s="126"/>
      <x:c r="K1" s="126"/>
      <x:c r="L1" s="126"/>
      <x:c r="M1" s="126"/>
      <x:c r="N1" s="126"/>
      <x:c r="O1" s="126"/>
      <x:c r="P1" s="126"/>
      <x:c r="Q1" s="126"/>
    </x:row>
    <x:row r="2" ht="28" customHeight="1">
      <x:c r="A2" s="40" t="str">
        <x:v>J18 — Comparaison Avant / Après EMA-120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</x:row>
    <x:row r="3">
      <x:c r="A3" s="126"/>
      <x:c r="B3" s="126"/>
      <x:c r="C3" s="126"/>
      <x:c r="D3" s="126"/>
      <x:c r="E3" s="126"/>
      <x:c r="F3" s="126"/>
      <x:c r="G3" s="126"/>
      <x:c r="H3" s="126"/>
      <x:c r="I3" s="126"/>
      <x:c r="J3" s="126"/>
      <x:c r="K3" s="126"/>
      <x:c r="L3" s="126"/>
      <x:c r="M3" s="126"/>
      <x:c r="N3" s="126"/>
      <x:c r="O3" s="126"/>
      <x:c r="P3" s="126"/>
      <x:c r="Q3" s="126"/>
    </x:row>
    <x:row r="4" ht="20" customHeight="1">
      <x:c r="A4" s="127" t="str">
        <x:v>Scénario J15 à confirmer en pilote. La couverture de la demande est distincte du TRS futur, non calculé.</x:v>
      </x:c>
      <x:c r="B4" s="127"/>
      <x:c r="C4" s="127"/>
      <x:c r="D4" s="127"/>
      <x:c r="E4" s="127"/>
      <x:c r="F4" s="127"/>
      <x:c r="G4" s="127"/>
      <x:c r="H4" s="127"/>
      <x:c r="I4" s="127"/>
      <x:c r="J4" s="127"/>
      <x:c r="K4" s="127"/>
      <x:c r="L4" s="127"/>
      <x:c r="M4" s="127"/>
      <x:c r="N4" s="127"/>
      <x:c r="O4" s="127"/>
      <x:c r="P4" s="127"/>
      <x:c r="Q4" s="127"/>
    </x:row>
    <x:row r="5">
      <x:c r="A5" s="126"/>
      <x:c r="B5" s="126"/>
      <x:c r="C5" s="126"/>
      <x:c r="D5" s="126"/>
      <x:c r="E5" s="126"/>
      <x:c r="F5" s="126"/>
      <x:c r="G5" s="126"/>
      <x:c r="H5" s="126"/>
      <x:c r="I5" s="126"/>
      <x:c r="J5" s="126"/>
      <x:c r="K5" s="126"/>
      <x:c r="L5" s="126"/>
      <x:c r="M5" s="126"/>
      <x:c r="N5" s="126"/>
      <x:c r="O5" s="126"/>
      <x:c r="P5" s="126"/>
      <x:c r="Q5" s="126"/>
    </x:row>
    <x:row r="6" ht="22" customHeight="1">
      <x:c r="A6" s="49" t="str">
        <x:v>CAPACITÉ APRÈS</x:v>
      </x:c>
      <x:c r="B6" s="50"/>
      <x:c r="C6" s="51"/>
      <x:c r="D6" s="126"/>
      <x:c r="E6" s="72" t="str">
        <x:v>COUVERTURE ESTIMÉE</x:v>
      </x:c>
      <x:c r="F6" s="73"/>
      <x:c r="G6" s="74"/>
      <x:c r="H6" s="126"/>
      <x:c r="I6" s="94" t="str">
        <x:v>ÉCART À LA DEMANDE</x:v>
      </x:c>
      <x:c r="J6" s="95"/>
      <x:c r="K6" s="96"/>
      <x:c r="L6" s="126"/>
      <x:c r="M6" s="126"/>
      <x:c r="N6" s="126"/>
      <x:c r="O6" s="126"/>
      <x:c r="P6" s="126"/>
      <x:c r="Q6" s="126"/>
    </x:row>
    <x:row r="7" ht="22" customHeight="1">
      <x:c r="A7" s="63" t="n">
        <x:f>'Calculs'!B19</x:f>
        <x:v>189.22005223862737</x:v>
      </x:c>
      <x:c r="B7" s="64"/>
      <x:c r="C7" s="65"/>
      <x:c r="D7" s="126"/>
      <x:c r="E7" s="85" t="n">
        <x:f>'Calculs'!B34</x:f>
        <x:v>0.9010478678029875</x:v>
      </x:c>
      <x:c r="F7" s="86"/>
      <x:c r="G7" s="87"/>
      <x:c r="H7" s="126"/>
      <x:c r="I7" s="107" t="n">
        <x:f>'Calculs'!B33</x:f>
        <x:v>-20.779947761372625</x:v>
      </x:c>
      <x:c r="J7" s="108"/>
      <x:c r="K7" s="109"/>
      <x:c r="L7" s="126"/>
      <x:c r="M7" s="126"/>
      <x:c r="N7" s="126"/>
      <x:c r="O7" s="126"/>
      <x:c r="P7" s="126"/>
      <x:c r="Q7" s="126"/>
    </x:row>
    <x:row r="8">
      <x:c r="A8" s="126"/>
      <x:c r="B8" s="126"/>
      <x:c r="C8" s="126"/>
      <x:c r="D8" s="126"/>
      <x:c r="E8" s="126"/>
      <x:c r="F8" s="126"/>
      <x:c r="G8" s="126"/>
      <x:c r="H8" s="126"/>
      <x:c r="I8" s="126"/>
      <x:c r="J8" s="126"/>
      <x:c r="K8" s="126"/>
      <x:c r="L8" s="126"/>
      <x:c r="M8" s="126"/>
      <x:c r="N8" s="126"/>
      <x:c r="O8" s="126"/>
      <x:c r="P8" s="126"/>
      <x:c r="Q8" s="126"/>
    </x:row>
    <x:row r="9">
      <x:c r="A9" s="126"/>
      <x:c r="B9" s="126"/>
      <x:c r="C9" s="126"/>
      <x:c r="D9" s="126"/>
      <x:c r="E9" s="126"/>
      <x:c r="F9" s="126"/>
      <x:c r="G9" s="126"/>
      <x:c r="H9" s="126"/>
      <x:c r="I9" s="126"/>
      <x:c r="J9" s="126"/>
      <x:c r="K9" s="126"/>
      <x:c r="L9" s="126"/>
      <x:c r="M9" s="126"/>
      <x:c r="N9" s="126"/>
      <x:c r="O9" s="126"/>
      <x:c r="P9" s="126"/>
      <x:c r="Q9" s="126"/>
    </x:row>
    <x:row r="10" ht="24" customHeight="1">
      <x:c r="A10" s="17" t="str">
        <x:v>KPI</x:v>
      </x:c>
      <x:c r="B10" s="18" t="str">
        <x:v>Unité</x:v>
      </x:c>
      <x:c r="C10" s="18" t="str">
        <x:v>Avant</x:v>
      </x:c>
      <x:c r="D10" s="18" t="str">
        <x:v>Après</x:v>
      </x:c>
      <x:c r="E10" s="18" t="str">
        <x:v>Écart</x:v>
      </x:c>
      <x:c r="F10" s="18" t="str">
        <x:v>Variation</x:v>
      </x:c>
      <x:c r="G10" s="18" t="str">
        <x:v>Gain normalisé</x:v>
      </x:c>
      <x:c r="H10" s="19" t="str">
        <x:v>Lecture</x:v>
      </x:c>
      <x:c r="I10" s="126"/>
      <x:c r="J10" s="126"/>
      <x:c r="K10" s="126"/>
      <x:c r="L10" s="126"/>
      <x:c r="M10" s="126"/>
      <x:c r="N10" s="126"/>
      <x:c r="O10" s="126"/>
      <x:c r="P10" s="126"/>
      <x:c r="Q10" s="126"/>
    </x:row>
    <x:row r="11" ht="24" customHeight="1">
      <x:c r="A11" s="22" t="str">
        <x:v>TRS / OEE ST50</x:v>
      </x:c>
      <x:c r="B11" s="110" t="str">
        <x:v>%</x:v>
      </x:c>
      <x:c r="C11" s="29" t="n">
        <x:f>'Calculs'!B9</x:f>
        <x:v>0.8334090909090909</x:v>
      </x:c>
      <x:c r="D11" s="139" t="str">
        <x:v>Non calculé</x:v>
      </x:c>
      <x:c r="E11" s="139" t="str">
        <x:v>n.d.</x:v>
      </x:c>
      <x:c r="F11" s="139" t="str">
        <x:v>n.d.</x:v>
      </x:c>
      <x:c r="G11" s="139" t="str">
        <x:v>n.d.</x:v>
      </x:c>
      <x:c r="H11" s="138" t="str">
        <x:v>A × P × Q à établir</x:v>
      </x:c>
      <x:c r="I11" s="126"/>
      <x:c r="J11" s="126"/>
      <x:c r="K11" s="126"/>
      <x:c r="L11" s="126"/>
      <x:c r="M11" s="126"/>
      <x:c r="N11" s="126"/>
      <x:c r="O11" s="126"/>
      <x:c r="P11" s="126"/>
      <x:c r="Q11" s="126"/>
    </x:row>
    <x:row r="12" ht="24" customHeight="1">
      <x:c r="A12" s="22" t="str">
        <x:v>Arrêts ST50 sur 20 jours</x:v>
      </x:c>
      <x:c r="B12" s="110" t="str">
        <x:v>h</x:v>
      </x:c>
      <x:c r="C12" s="28" t="n">
        <x:f>'Calculs'!B29</x:f>
        <x:v>25.981944444444444</x:v>
      </x:c>
      <x:c r="D12" s="28" t="n">
        <x:f>'Calculs'!B30</x:f>
        <x:v>13.726527777777777</x:v>
      </x:c>
      <x:c r="E12" s="28" t="n">
        <x:f>D12-C12</x:f>
        <x:v>-12.255416666666667</x:v>
      </x:c>
      <x:c r="F12" s="29" t="n">
        <x:f>E12/C12</x:f>
        <x:v>-0.4716897418078794</x:v>
      </x:c>
      <x:c r="G12" s="29" t="n">
        <x:f>-F12</x:f>
        <x:v>0.4716897418078794</x:v>
      </x:c>
      <x:c r="H12" s="117" t="str">
        <x:v>Réduction projetée</x:v>
      </x:c>
      <x:c r="I12" s="126"/>
      <x:c r="J12" s="126"/>
      <x:c r="K12" s="126"/>
      <x:c r="L12" s="126"/>
      <x:c r="M12" s="126"/>
      <x:c r="N12" s="126"/>
      <x:c r="O12" s="126"/>
      <x:c r="P12" s="126"/>
      <x:c r="Q12" s="126"/>
    </x:row>
    <x:row r="13" ht="24" customHeight="1">
      <x:c r="A13" s="22" t="str">
        <x:v>Rebuts estimés</x:v>
      </x:c>
      <x:c r="B13" s="110" t="str">
        <x:v>unités</x:v>
      </x:c>
      <x:c r="C13" s="28" t="n">
        <x:f>'Calculs'!B14</x:f>
        <x:v>6</x:v>
      </x:c>
      <x:c r="D13" s="28" t="n">
        <x:f>'Calculs'!B31</x:f>
        <x:v>3.6617647058823533</x:v>
      </x:c>
      <x:c r="E13" s="28" t="n">
        <x:f>D13-C13</x:f>
        <x:v>-2.3382352941176467</x:v>
      </x:c>
      <x:c r="F13" s="29" t="n">
        <x:f>E13/C13</x:f>
        <x:v>-0.3897058823529411</x:v>
      </x:c>
      <x:c r="G13" s="29" t="n">
        <x:f>-F13</x:f>
        <x:v>0.3897058823529411</x:v>
      </x:c>
      <x:c r="H13" s="117" t="str">
        <x:v>Réduction estimée</x:v>
      </x:c>
      <x:c r="I13" s="126"/>
      <x:c r="J13" s="126"/>
      <x:c r="K13" s="126"/>
      <x:c r="L13" s="126"/>
      <x:c r="M13" s="126"/>
      <x:c r="N13" s="126"/>
      <x:c r="O13" s="126"/>
      <x:c r="P13" s="126"/>
      <x:c r="Q13" s="126"/>
    </x:row>
    <x:row r="14" ht="24" customHeight="1">
      <x:c r="A14" s="22" t="str">
        <x:v>Capacité journalière</x:v>
      </x:c>
      <x:c r="B14" s="110" t="str">
        <x:v>u/jour</x:v>
      </x:c>
      <x:c r="C14" s="28" t="n">
        <x:f>'Calculs'!B18</x:f>
        <x:v>160.285487555609</x:v>
      </x:c>
      <x:c r="D14" s="28" t="n">
        <x:f>'Calculs'!B19</x:f>
        <x:v>189.22005223862737</x:v>
      </x:c>
      <x:c r="E14" s="28" t="n">
        <x:f>D14-C14</x:f>
        <x:v>28.93456468301838</x:v>
      </x:c>
      <x:c r="F14" s="29" t="n">
        <x:f>E14/C14</x:f>
        <x:v>0.1805189298437259</x:v>
      </x:c>
      <x:c r="G14" s="29" t="n">
        <x:f>F14</x:f>
        <x:v>0.1805189298437259</x:v>
      </x:c>
      <x:c r="H14" s="117" t="str">
        <x:v>Hausse projetée</x:v>
      </x:c>
      <x:c r="I14" s="126"/>
      <x:c r="J14" s="126"/>
      <x:c r="K14" s="126"/>
      <x:c r="L14" s="126"/>
      <x:c r="M14" s="126"/>
      <x:c r="N14" s="126"/>
      <x:c r="O14" s="126"/>
      <x:c r="P14" s="126"/>
      <x:c r="Q14" s="126"/>
    </x:row>
    <x:row r="15" ht="24" customHeight="1">
      <x:c r="A15" s="23" t="str">
        <x:v>Changement de série</x:v>
      </x:c>
      <x:c r="B15" s="111" t="str">
        <x:v>min/changement</x:v>
      </x:c>
      <x:c r="C15" s="112" t="n">
        <x:f>'Calculs'!B21</x:f>
        <x:v>25</x:v>
      </x:c>
      <x:c r="D15" s="112" t="n">
        <x:f>'Calculs'!B22</x:f>
        <x:v>12.5</x:v>
      </x:c>
      <x:c r="E15" s="112" t="n">
        <x:f>D15-C15</x:f>
        <x:v>-12.5</x:v>
      </x:c>
      <x:c r="F15" s="30" t="n">
        <x:f>E15/C15</x:f>
        <x:v>-0.5</x:v>
      </x:c>
      <x:c r="G15" s="30" t="n">
        <x:f>-F15</x:f>
        <x:v>0.5</x:v>
      </x:c>
      <x:c r="H15" s="118" t="str">
        <x:v>Réduction proposée</x:v>
      </x:c>
      <x:c r="I15" s="126"/>
      <x:c r="J15" s="126"/>
      <x:c r="K15" s="126"/>
      <x:c r="L15" s="126"/>
      <x:c r="M15" s="126"/>
      <x:c r="N15" s="126"/>
      <x:c r="O15" s="126"/>
      <x:c r="P15" s="126"/>
      <x:c r="Q15" s="126"/>
    </x:row>
    <x:row r="16">
      <x:c r="A16" s="126"/>
      <x:c r="B16" s="126"/>
      <x:c r="C16" s="126"/>
      <x:c r="D16" s="126"/>
      <x:c r="E16" s="126"/>
      <x:c r="F16" s="126"/>
      <x:c r="G16" s="126"/>
      <x:c r="H16" s="126"/>
      <x:c r="I16" s="126"/>
      <x:c r="J16" s="126"/>
      <x:c r="K16" s="126"/>
      <x:c r="L16" s="126"/>
      <x:c r="M16" s="126"/>
      <x:c r="N16" s="126"/>
      <x:c r="O16" s="126"/>
      <x:c r="P16" s="126"/>
      <x:c r="Q16" s="126"/>
    </x:row>
    <x:row r="17">
      <x:c r="A17" s="126"/>
      <x:c r="B17" s="126"/>
      <x:c r="C17" s="126"/>
      <x:c r="D17" s="126"/>
      <x:c r="E17" s="126"/>
      <x:c r="F17" s="126"/>
      <x:c r="G17" s="126"/>
      <x:c r="H17" s="126"/>
      <x:c r="I17" s="126"/>
      <x:c r="J17" s="126"/>
      <x:c r="K17" s="126"/>
      <x:c r="L17" s="126"/>
      <x:c r="M17" s="126"/>
      <x:c r="N17" s="126"/>
      <x:c r="O17" s="126"/>
      <x:c r="P17" s="126"/>
      <x:c r="Q17" s="126"/>
    </x:row>
    <x:row r="18" ht="24" customHeight="1">
      <x:c r="A18" s="128" t="str">
        <x:v>Analyse des écarts</x:v>
      </x:c>
      <x:c r="B18" s="129"/>
      <x:c r="C18" s="129"/>
      <x:c r="D18" s="129"/>
      <x:c r="E18" s="129"/>
      <x:c r="F18" s="129"/>
      <x:c r="G18" s="129"/>
      <x:c r="H18" s="130"/>
      <x:c r="I18" s="126"/>
      <x:c r="J18" s="126"/>
      <x:c r="K18" s="126"/>
      <x:c r="L18" s="126"/>
      <x:c r="M18" s="126"/>
      <x:c r="N18" s="126"/>
      <x:c r="O18" s="126"/>
      <x:c r="P18" s="126"/>
      <x:c r="Q18" s="126"/>
    </x:row>
    <x:row r="19" ht="24" customHeight="1">
      <x:c r="A19" s="22" t="str">
        <x:v>Capacité supplémentaire</x:v>
      </x:c>
      <x:c r="B19" s="28" t="n">
        <x:f>'Calculs'!B19-'Calculs'!B18</x:f>
        <x:v>28.93456468301838</x:v>
      </x:c>
      <x:c r="C19" s="22" t="str">
        <x:v>u/jour</x:v>
      </x:c>
      <x:c r="D19" s="22"/>
      <x:c r="E19" s="22"/>
      <x:c r="F19" s="22"/>
      <x:c r="G19" s="22"/>
      <x:c r="H19" s="22"/>
      <x:c r="I19" s="126"/>
      <x:c r="J19" s="126"/>
      <x:c r="K19" s="126"/>
      <x:c r="L19" s="126"/>
      <x:c r="M19" s="126"/>
      <x:c r="N19" s="126"/>
      <x:c r="O19" s="126"/>
      <x:c r="P19" s="126"/>
      <x:c r="Q19" s="126"/>
    </x:row>
    <x:row r="20" ht="24" customHeight="1">
      <x:c r="A20" s="22" t="str">
        <x:v>Capacité restante à combler</x:v>
      </x:c>
      <x:c r="B20" s="28" t="n">
        <x:f>'Calculs'!B20-'Calculs'!B19</x:f>
        <x:v>20.779947761372625</x:v>
      </x:c>
      <x:c r="C20" s="22" t="str">
        <x:v>u/jour</x:v>
      </x:c>
      <x:c r="D20" s="22"/>
      <x:c r="E20" s="22"/>
      <x:c r="F20" s="22"/>
      <x:c r="G20" s="22"/>
      <x:c r="H20" s="22"/>
      <x:c r="I20" s="126"/>
      <x:c r="J20" s="126"/>
      <x:c r="K20" s="126"/>
      <x:c r="L20" s="126"/>
      <x:c r="M20" s="126"/>
      <x:c r="N20" s="126"/>
      <x:c r="O20" s="126"/>
      <x:c r="P20" s="126"/>
      <x:c r="Q20" s="126"/>
    </x:row>
    <x:row r="21" ht="24" customHeight="1">
      <x:c r="A21" s="22" t="str">
        <x:v>Statut de la demande</x:v>
      </x:c>
      <x:c r="B21" s="121" t="str">
        <x:f>IF('Calculs'!B33&gt;=0,"Atteinte","Non atteinte")</x:f>
        <x:v>Non atteinte</x:v>
      </x:c>
      <x:c r="C21" s="22"/>
      <x:c r="D21" s="22"/>
      <x:c r="E21" s="22"/>
      <x:c r="F21" s="22"/>
      <x:c r="G21" s="22"/>
      <x:c r="H21" s="22"/>
      <x:c r="I21" s="126"/>
      <x:c r="J21" s="126"/>
      <x:c r="K21" s="126"/>
      <x:c r="L21" s="126"/>
      <x:c r="M21" s="126"/>
      <x:c r="N21" s="126"/>
      <x:c r="O21" s="126"/>
      <x:c r="P21" s="126"/>
      <x:c r="Q21" s="126"/>
    </x:row>
    <x:row r="22" ht="38" customHeight="1">
      <x:c r="A22" s="23" t="str">
        <x:v>Validation requise</x:v>
      </x:c>
      <x:c r="B22" s="124" t="str">
        <x:v>Chronométrer les changements et confirmer les gains maintenance/qualité avant standardisation.</x:v>
      </x:c>
      <x:c r="C22" s="124"/>
      <x:c r="D22" s="124"/>
      <x:c r="E22" s="124"/>
      <x:c r="F22" s="124"/>
      <x:c r="G22" s="124"/>
      <x:c r="H22" s="124"/>
      <x:c r="I22" s="126"/>
      <x:c r="J22" s="126"/>
      <x:c r="K22" s="126"/>
      <x:c r="L22" s="126"/>
      <x:c r="M22" s="126"/>
      <x:c r="N22" s="126"/>
      <x:c r="O22" s="126"/>
      <x:c r="P22" s="126"/>
      <x:c r="Q22" s="126"/>
    </x:row>
    <x:row r="23">
      <x:c r="A23" s="126"/>
      <x:c r="B23" s="126"/>
      <x:c r="C23" s="126"/>
      <x:c r="D23" s="126"/>
      <x:c r="E23" s="126"/>
      <x:c r="F23" s="126"/>
      <x:c r="G23" s="126"/>
      <x:c r="H23" s="126"/>
      <x:c r="I23" s="126"/>
      <x:c r="J23" s="126"/>
      <x:c r="K23" s="126"/>
      <x:c r="L23" s="126"/>
      <x:c r="M23" s="126"/>
      <x:c r="N23" s="126"/>
      <x:c r="O23" s="126"/>
      <x:c r="P23" s="126"/>
      <x:c r="Q23" s="126"/>
    </x:row>
    <x:row r="24">
      <x:c r="A24" s="126"/>
      <x:c r="B24" s="126"/>
      <x:c r="C24" s="126"/>
      <x:c r="D24" s="126"/>
      <x:c r="E24" s="126"/>
      <x:c r="F24" s="126"/>
      <x:c r="G24" s="126"/>
      <x:c r="H24" s="126"/>
      <x:c r="I24" s="126"/>
      <x:c r="J24" s="126"/>
      <x:c r="K24" s="126"/>
      <x:c r="L24" s="126"/>
      <x:c r="M24" s="126"/>
      <x:c r="N24" s="126"/>
      <x:c r="O24" s="126"/>
      <x:c r="P24" s="126"/>
      <x:c r="Q24" s="126"/>
    </x:row>
    <x:row r="25" ht="46" customHeight="1">
      <x:c r="A25" s="131" t="str">
        <x:v>Conclusion : capacité estimée à 189,2 u/j, sous la demande de 20,8 u/j. Le TRS futur reste à calculer. Validation terrain requise.</x:v>
      </x:c>
      <x:c r="B25" s="132"/>
      <x:c r="C25" s="132"/>
      <x:c r="D25" s="132"/>
      <x:c r="E25" s="132"/>
      <x:c r="F25" s="132"/>
      <x:c r="G25" s="132"/>
      <x:c r="H25" s="133"/>
      <x:c r="I25" s="126"/>
      <x:c r="J25" s="126"/>
      <x:c r="K25" s="126"/>
      <x:c r="L25" s="126"/>
      <x:c r="M25" s="126"/>
      <x:c r="N25" s="126"/>
      <x:c r="O25" s="126"/>
      <x:c r="P25" s="126"/>
      <x:c r="Q25" s="126"/>
    </x:row>
    <x:row r="26">
      <x:c r="A26" s="126"/>
      <x:c r="B26" s="126"/>
      <x:c r="C26" s="126"/>
      <x:c r="D26" s="126"/>
      <x:c r="E26" s="126"/>
      <x:c r="F26" s="126"/>
      <x:c r="G26" s="126"/>
      <x:c r="H26" s="126"/>
      <x:c r="I26" s="126"/>
      <x:c r="J26" s="126"/>
      <x:c r="K26" s="126"/>
      <x:c r="L26" s="126"/>
      <x:c r="M26" s="126"/>
      <x:c r="N26" s="126"/>
      <x:c r="O26" s="126"/>
      <x:c r="P26" s="126"/>
      <x:c r="Q26" s="126"/>
    </x:row>
  </x:sheetData>
  <x:mergeCells>
    <x:mergeCell ref="A2:Q2"/>
    <x:mergeCell ref="A4:Q4"/>
    <x:mergeCell ref="A6:C6"/>
    <x:mergeCell ref="A7:C7"/>
    <x:mergeCell ref="E6:G6"/>
    <x:mergeCell ref="E7:G7"/>
    <x:mergeCell ref="I6:K6"/>
    <x:mergeCell ref="I7:K7"/>
    <x:mergeCell ref="A18:H18"/>
    <x:mergeCell ref="B22:H22"/>
    <x:mergeCell ref="A25:H25"/>
  </x:mergeCells>
  <x:conditionalFormatting sqref="G11:G15">
    <x:cfRule type="dataBar" priority="1">
      <x:dataBar>
        <x:cfvo type="min"/>
        <x:cfvo type="max"/>
        <x:color rgb="FF22C55E"/>
      </x:dataBar>
      <x:extLst>
        <x:ext xmlns:x14="http://schemas.microsoft.com/office/spreadsheetml/2009/9/main" uri="{B025F937-C7B1-47D3-B67F-A62EFF666E3E}">
          <x14:id>{3189F178-8AF8-E4AB-3916-F1A34FFE3AC7}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c7ff45817ab647bd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189F178-8AF8-E4AB-3916-F1A34FFE3AC7}">
            <x14:dataBar gradient="1">
              <x14:cfvo type="min"/>
              <x14:cfvo type="max"/>
              <x14:fillColor rgb="FF22C55E"/>
            </x14:dataBar>
          </x14:cfRule>
          <xm:sqref>G11:G15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Pr>
    <x:tabColor rgb="FF7AA6C2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8" hidden="0" customWidth="1"/>
    <x:col min="2" max="2" width="17" hidden="0" customWidth="1"/>
    <x:col min="3" max="3" width="18" hidden="0" customWidth="1"/>
    <x:col min="4" max="4" width="40" hidden="0" customWidth="1"/>
    <x:col min="5" max="5" width="34" hidden="0" customWidth="1"/>
  </x:cols>
  <x:sheetData>
    <x:row r="1">
      <x:c r="A1" s="125"/>
      <x:c r="B1" s="125"/>
      <x:c r="C1" s="125"/>
      <x:c r="D1" s="125"/>
      <x:c r="E1" s="125"/>
    </x:row>
    <x:row r="2">
      <x:c r="A2" s="2" t="str">
        <x:v>J18 — Calculs et hypothèses du scénario amélioré</x:v>
      </x:c>
      <x:c r="B2" s="2"/>
      <x:c r="C2" s="2"/>
      <x:c r="D2" s="2"/>
      <x:c r="E2" s="2"/>
    </x:row>
    <x:row r="3">
      <x:c r="A3" s="125"/>
      <x:c r="B3" s="125"/>
      <x:c r="C3" s="125"/>
      <x:c r="D3" s="125"/>
      <x:c r="E3" s="125"/>
    </x:row>
    <x:row r="4">
      <x:c r="A4" s="3" t="str">
        <x:v>Scénario issu de J09, J14 et J15. Le TRS futur nécessite un calcul distinct de ses trois facteurs.</x:v>
      </x:c>
      <x:c r="B4" s="3"/>
      <x:c r="C4" s="3"/>
      <x:c r="D4" s="3"/>
      <x:c r="E4" s="3"/>
    </x:row>
    <x:row r="5">
      <x:c r="A5" s="125"/>
      <x:c r="B5" s="125"/>
      <x:c r="C5" s="125"/>
      <x:c r="D5" s="125"/>
      <x:c r="E5" s="125"/>
    </x:row>
    <x:row r="6">
      <x:c r="A6" s="6" t="str">
        <x:v>Données de base et hypothèses</x:v>
      </x:c>
      <x:c r="B6" s="7"/>
      <x:c r="C6" s="7"/>
      <x:c r="D6" s="7"/>
      <x:c r="E6" s="8"/>
    </x:row>
    <x:row r="7" ht="23" customHeight="1">
      <x:c r="A7" s="17" t="str">
        <x:v>Indicateur</x:v>
      </x:c>
      <x:c r="B7" s="18" t="str">
        <x:v>Valeur</x:v>
      </x:c>
      <x:c r="C7" s="18" t="str">
        <x:v>Unité</x:v>
      </x:c>
      <x:c r="D7" s="18" t="str">
        <x:v>Nature</x:v>
      </x:c>
      <x:c r="E7" s="19" t="str">
        <x:v>Source</x:v>
      </x:c>
    </x:row>
    <x:row r="8" ht="23" customHeight="1">
      <x:c r="A8" s="134" t="str">
        <x:v>Temps planifié sur la période</x:v>
      </x:c>
      <x:c r="B8" s="24" t="n">
        <x:v>1056000</x:v>
      </x:c>
      <x:c r="C8" s="22" t="str">
        <x:v>s / 20 jours</x:v>
      </x:c>
      <x:c r="D8" s="134" t="str">
        <x:v>Mesure</x:v>
      </x:c>
      <x:c r="E8" s="134" t="str">
        <x:v>J09 — OEE / TRS ST50</x:v>
      </x:c>
    </x:row>
    <x:row r="9" ht="23" customHeight="1">
      <x:c r="A9" s="134" t="str">
        <x:v>TRS / OEE ST50 actuel</x:v>
      </x:c>
      <x:c r="B9" s="26" t="n">
        <x:v>0.8334090909090909</x:v>
      </x:c>
      <x:c r="C9" s="22" t="str">
        <x:v>%</x:v>
      </x:c>
      <x:c r="D9" s="134" t="str">
        <x:v>Mesure</x:v>
      </x:c>
      <x:c r="E9" s="134" t="str">
        <x:v>J09 — OEE / TRS ST50</x:v>
      </x:c>
    </x:row>
    <x:row r="10" ht="23" customHeight="1">
      <x:c r="A10" s="134" t="str">
        <x:v>Changements planifiés ST50</x:v>
      </x:c>
      <x:c r="B10" s="24" t="n">
        <x:v>67500</x:v>
      </x:c>
      <x:c r="C10" s="22" t="str">
        <x:v>s / 20 jours</x:v>
      </x:c>
      <x:c r="D10" s="134" t="str">
        <x:v>Mesure</x:v>
      </x:c>
      <x:c r="E10" s="134" t="str">
        <x:v>J09 / J14</x:v>
      </x:c>
    </x:row>
    <x:row r="11" ht="23" customHeight="1">
      <x:c r="A11" s="134" t="str">
        <x:v>Arrêts non planifiés ST50</x:v>
      </x:c>
      <x:c r="B11" s="24" t="n">
        <x:v>26035</x:v>
      </x:c>
      <x:c r="C11" s="22" t="str">
        <x:v>s / 20 jours</x:v>
      </x:c>
      <x:c r="D11" s="134" t="str">
        <x:v>Mesure</x:v>
      </x:c>
      <x:c r="E11" s="134" t="str">
        <x:v>J09 — OEE / TRS ST50</x:v>
      </x:c>
    </x:row>
    <x:row r="12" ht="23" customHeight="1">
      <x:c r="A12" s="134" t="str">
        <x:v>Arrêts capteur + équipement ciblés</x:v>
      </x:c>
      <x:c r="B12" s="24" t="n">
        <x:v>20739</x:v>
      </x:c>
      <x:c r="C12" s="22" t="str">
        <x:v>s / 20 jours</x:v>
      </x:c>
      <x:c r="D12" s="134" t="str">
        <x:v>Mesure</x:v>
      </x:c>
      <x:c r="E12" s="134" t="str">
        <x:v>J15 — Scénario amélioré</x:v>
      </x:c>
    </x:row>
    <x:row r="13" ht="23" customHeight="1">
      <x:c r="A13" s="134" t="str">
        <x:v>Récupération des arrêts ciblés</x:v>
      </x:c>
      <x:c r="B13" s="27" t="n">
        <x:v>0.5</x:v>
      </x:c>
      <x:c r="C13" s="22" t="str">
        <x:v>%</x:v>
      </x:c>
      <x:c r="D13" s="134" t="str">
        <x:v>Hypothèse pilote</x:v>
      </x:c>
      <x:c r="E13" s="134" t="str">
        <x:v>J15 — Scénario amélioré</x:v>
      </x:c>
    </x:row>
    <x:row r="14" ht="23" customHeight="1">
      <x:c r="A14" s="134" t="str">
        <x:v>Rebuts actuels</x:v>
      </x:c>
      <x:c r="B14" s="24" t="n">
        <x:v>6</x:v>
      </x:c>
      <x:c r="C14" s="22" t="str">
        <x:v>unités</x:v>
      </x:c>
      <x:c r="D14" s="134" t="str">
        <x:v>Mesure</x:v>
      </x:c>
      <x:c r="E14" s="134" t="str">
        <x:v>Données qualité EMA-120</x:v>
      </x:c>
    </x:row>
    <x:row r="15" ht="23" customHeight="1">
      <x:c r="A15" s="134" t="str">
        <x:v>Défauts premier passage ST50</x:v>
      </x:c>
      <x:c r="B15" s="24" t="n">
        <x:v>68</x:v>
      </x:c>
      <x:c r="C15" s="22" t="str">
        <x:v>défauts</x:v>
      </x:c>
      <x:c r="D15" s="134" t="str">
        <x:v>Mesure</x:v>
      </x:c>
      <x:c r="E15" s="134" t="str">
        <x:v>J09 / J15</x:v>
      </x:c>
    </x:row>
    <x:row r="16" ht="23" customHeight="1">
      <x:c r="A16" s="134" t="str">
        <x:v>Trois défauts principaux ciblés</x:v>
      </x:c>
      <x:c r="B16" s="24" t="n">
        <x:v>53</x:v>
      </x:c>
      <x:c r="C16" s="22" t="str">
        <x:v>défauts</x:v>
      </x:c>
      <x:c r="D16" s="134" t="str">
        <x:v>Mesure</x:v>
      </x:c>
      <x:c r="E16" s="134" t="str">
        <x:v>J15 — Scénario amélioré</x:v>
      </x:c>
    </x:row>
    <x:row r="17" ht="23" customHeight="1">
      <x:c r="A17" s="134" t="str">
        <x:v>Réduction des défauts ciblés</x:v>
      </x:c>
      <x:c r="B17" s="27" t="n">
        <x:v>0.5</x:v>
      </x:c>
      <x:c r="C17" s="22" t="str">
        <x:v>%</x:v>
      </x:c>
      <x:c r="D17" s="134" t="str">
        <x:v>Hypothèse pilote</x:v>
      </x:c>
      <x:c r="E17" s="134" t="str">
        <x:v>J15 — Scénario amélioré</x:v>
      </x:c>
    </x:row>
    <x:row r="18" ht="23" customHeight="1">
      <x:c r="A18" s="134" t="str">
        <x:v>Capacité actuelle de référence</x:v>
      </x:c>
      <x:c r="B18" s="24" t="n">
        <x:v>160.285487555609</x:v>
      </x:c>
      <x:c r="C18" s="22" t="str">
        <x:v>u/jour</x:v>
      </x:c>
      <x:c r="D18" s="134" t="str">
        <x:v>Calcul</x:v>
      </x:c>
      <x:c r="E18" s="134" t="str">
        <x:v>J14 / J15</x:v>
      </x:c>
    </x:row>
    <x:row r="19" ht="23" customHeight="1">
      <x:c r="A19" s="134" t="str">
        <x:v>Capacité du scénario engagé</x:v>
      </x:c>
      <x:c r="B19" s="24" t="n">
        <x:v>189.22005223862737</x:v>
      </x:c>
      <x:c r="C19" s="22" t="str">
        <x:v>u/jour</x:v>
      </x:c>
      <x:c r="D19" s="134" t="str">
        <x:v>Calcul</x:v>
      </x:c>
      <x:c r="E19" s="134" t="str">
        <x:v>J15 — Scénario amélioré</x:v>
      </x:c>
    </x:row>
    <x:row r="20" ht="23" customHeight="1">
      <x:c r="A20" s="134" t="str">
        <x:v>Demande client</x:v>
      </x:c>
      <x:c r="B20" s="24" t="n">
        <x:v>210</x:v>
      </x:c>
      <x:c r="C20" s="22" t="str">
        <x:v>u/jour</x:v>
      </x:c>
      <x:c r="D20" s="134" t="str">
        <x:v>Donnée</x:v>
      </x:c>
      <x:c r="E20" s="134" t="str">
        <x:v>J08 / J15</x:v>
      </x:c>
    </x:row>
    <x:row r="21" ht="23" customHeight="1">
      <x:c r="A21" s="134" t="str">
        <x:v>Changement de série actuel</x:v>
      </x:c>
      <x:c r="B21" s="24" t="n">
        <x:v>25</x:v>
      </x:c>
      <x:c r="C21" s="22" t="str">
        <x:v>min/changement</x:v>
      </x:c>
      <x:c r="D21" s="134" t="str">
        <x:v>Mesure</x:v>
      </x:c>
      <x:c r="E21" s="134" t="str">
        <x:v>J14 — SMED</x:v>
      </x:c>
    </x:row>
    <x:row r="22" ht="23" customHeight="1">
      <x:c r="A22" s="134" t="str">
        <x:v>Changement de série proposé</x:v>
      </x:c>
      <x:c r="B22" s="24" t="n">
        <x:v>12.5</x:v>
      </x:c>
      <x:c r="C22" s="22" t="str">
        <x:v>min/changement</x:v>
      </x:c>
      <x:c r="D22" s="134" t="str">
        <x:v>Cible calculée</x:v>
      </x:c>
      <x:c r="E22" s="134" t="str">
        <x:v>J14 — SMED</x:v>
      </x:c>
    </x:row>
    <x:row r="23" ht="23" customHeight="1">
      <x:c r="A23" s="134" t="str">
        <x:v>Capacité théorique après équilibrage</x:v>
      </x:c>
      <x:c r="B23" s="24" t="n">
        <x:v>210</x:v>
      </x:c>
      <x:c r="C23" s="22" t="str">
        <x:v>u/jour</x:v>
      </x:c>
      <x:c r="D23" s="134" t="str">
        <x:v>Calcul</x:v>
      </x:c>
      <x:c r="E23" s="134" t="str">
        <x:v>CT équilibré = takt</x:v>
      </x:c>
    </x:row>
    <x:row r="24" ht="23" customHeight="1">
      <x:c r="A24" s="135" t="str">
        <x:v>Durée de la période</x:v>
      </x:c>
      <x:c r="B24" s="25" t="n">
        <x:v>20</x:v>
      </x:c>
      <x:c r="C24" s="23" t="str">
        <x:v>jours</x:v>
      </x:c>
      <x:c r="D24" s="135" t="str">
        <x:v>Donnée</x:v>
      </x:c>
      <x:c r="E24" s="135" t="str">
        <x:v>Période d'analyse</x:v>
      </x:c>
    </x:row>
    <x:row r="25">
      <x:c r="A25" s="125"/>
      <x:c r="B25" s="125"/>
      <x:c r="C25" s="125"/>
      <x:c r="D25" s="125"/>
      <x:c r="E25" s="125"/>
    </x:row>
    <x:row r="26">
      <x:c r="A26" s="125"/>
      <x:c r="B26" s="125"/>
      <x:c r="C26" s="125"/>
      <x:c r="D26" s="125"/>
      <x:c r="E26" s="125"/>
    </x:row>
    <x:row r="27">
      <x:c r="A27" s="6" t="str">
        <x:v>Calculs du scénario</x:v>
      </x:c>
      <x:c r="B27" s="7"/>
      <x:c r="C27" s="7"/>
      <x:c r="D27" s="7"/>
      <x:c r="E27" s="8"/>
    </x:row>
    <x:row r="28" ht="26" customHeight="1">
      <x:c r="A28" s="17" t="str">
        <x:v>Résultat</x:v>
      </x:c>
      <x:c r="B28" s="18" t="str">
        <x:v>Valeur</x:v>
      </x:c>
      <x:c r="C28" s="18" t="str">
        <x:v>Unité</x:v>
      </x:c>
      <x:c r="D28" s="18" t="str">
        <x:v>Formule métier</x:v>
      </x:c>
      <x:c r="E28" s="19" t="str">
        <x:v>Lecture</x:v>
      </x:c>
    </x:row>
    <x:row r="29" ht="26" customHeight="1">
      <x:c r="A29" s="134" t="str">
        <x:v>Arrêts ST50 avant</x:v>
      </x:c>
      <x:c r="B29" s="28" t="n">
        <x:f>(B10+B11)/3600</x:f>
        <x:v>25.981944444444444</x:v>
      </x:c>
      <x:c r="C29" s="134" t="str">
        <x:v>h / 20 jours</x:v>
      </x:c>
      <x:c r="D29" s="134" t="str">
        <x:v>(changement + non planifié) / 3 600</x:v>
      </x:c>
      <x:c r="E29" s="134" t="str">
        <x:v>Situation mesurée</x:v>
      </x:c>
    </x:row>
    <x:row r="30" ht="26" customHeight="1">
      <x:c r="A30" s="134" t="str">
        <x:v>Arrêts ST50 après</x:v>
      </x:c>
      <x:c r="B30" s="28" t="n">
        <x:f>(B10*(B22/B21)+B11-B13*B12)/3600</x:f>
        <x:v>13.726527777777777</x:v>
      </x:c>
      <x:c r="C30" s="134" t="str">
        <x:v>h / 20 jours</x:v>
      </x:c>
      <x:c r="D30" s="134" t="str">
        <x:v>SMED + récupération de 50 % des arrêts ciblés</x:v>
      </x:c>
      <x:c r="E30" s="134" t="str">
        <x:v>Scénario à confirmer en pilote</x:v>
      </x:c>
    </x:row>
    <x:row r="31" ht="26" customHeight="1">
      <x:c r="A31" s="134" t="str">
        <x:v>Rebuts estimés après</x:v>
      </x:c>
      <x:c r="B31" s="28" t="n">
        <x:f>B14*(1-B17*B16/B15)</x:f>
        <x:v>3.6617647058823533</x:v>
      </x:c>
      <x:c r="C31" s="134" t="str">
        <x:v>unités</x:v>
      </x:c>
      <x:c r="D31" s="134" t="str">
        <x:v>Rebuts × (1 − taux × part des défauts ciblés)</x:v>
      </x:c>
      <x:c r="E31" s="134" t="str">
        <x:v>Ratio ST50 appliqué globalement : hypothèse</x:v>
      </x:c>
    </x:row>
    <x:row r="32" ht="26" customHeight="1">
      <x:c r="A32" s="134" t="str">
        <x:v>TRS / OEE ST50 après</x:v>
      </x:c>
      <x:c r="B32" s="26" t="str">
        <x:v>Non calculé</x:v>
      </x:c>
      <x:c r="C32" s="134" t="str">
        <x:v>%</x:v>
      </x:c>
      <x:c r="D32" s="134" t="str">
        <x:v>Disponibilité × Performance × Qualité</x:v>
      </x:c>
      <x:c r="E32" s="134" t="str">
        <x:v>Facteurs futurs à établir en pilote</x:v>
      </x:c>
    </x:row>
    <x:row r="33" ht="26" customHeight="1">
      <x:c r="A33" s="134" t="str">
        <x:v>Écart résiduel à la demande</x:v>
      </x:c>
      <x:c r="B33" s="28" t="n">
        <x:f>B19-B20</x:f>
        <x:v>-20.779947761372625</x:v>
      </x:c>
      <x:c r="C33" s="134" t="str">
        <x:v>u/jour</x:v>
      </x:c>
      <x:c r="D33" s="134" t="str">
        <x:v>Capacité scénario − demande</x:v>
      </x:c>
      <x:c r="E33" s="134" t="str">
        <x:v>Valeur négative = demande non atteinte</x:v>
      </x:c>
    </x:row>
    <x:row r="34" ht="26" customHeight="1">
      <x:c r="A34" s="134" t="str">
        <x:v>Couverture estimée de la demande</x:v>
      </x:c>
      <x:c r="B34" s="29" t="n">
        <x:f>B19/B20</x:f>
        <x:v>0.9010478678029875</x:v>
      </x:c>
      <x:c r="C34" s="134" t="str">
        <x:v>%</x:v>
      </x:c>
      <x:c r="D34" s="134" t="str">
        <x:v>Capacité scénario / demande</x:v>
      </x:c>
      <x:c r="E34" s="134" t="str">
        <x:v>Ratio capacité / demande, distinct du TRS</x:v>
      </x:c>
    </x:row>
    <x:row r="35" ht="26" customHeight="1">
      <x:c r="A35" s="134" t="str">
        <x:v>Variation changement de série</x:v>
      </x:c>
      <x:c r="B35" s="29" t="n">
        <x:f>B22/B21-1</x:f>
        <x:v>-0.5</x:v>
      </x:c>
      <x:c r="C35" s="134" t="str">
        <x:v>%</x:v>
      </x:c>
      <x:c r="D35" s="134" t="str">
        <x:v>Après / Avant − 1</x:v>
      </x:c>
      <x:c r="E35" s="134" t="str">
        <x:v>Réduction favorable</x:v>
      </x:c>
    </x:row>
    <x:row r="36" ht="26" customHeight="1">
      <x:c r="A36" s="134" t="str">
        <x:v>Variation arrêts ST50</x:v>
      </x:c>
      <x:c r="B36" s="29" t="n">
        <x:f>B30/B29-1</x:f>
        <x:v>-0.47168974180787937</x:v>
      </x:c>
      <x:c r="C36" s="134" t="str">
        <x:v>%</x:v>
      </x:c>
      <x:c r="D36" s="134" t="str">
        <x:v>Après / Avant − 1</x:v>
      </x:c>
      <x:c r="E36" s="134" t="str">
        <x:v>Réduction favorable</x:v>
      </x:c>
    </x:row>
    <x:row r="37" ht="26" customHeight="1">
      <x:c r="A37" s="134" t="str">
        <x:v>Variation rebuts estimés</x:v>
      </x:c>
      <x:c r="B37" s="29" t="n">
        <x:f>B31/B14-1</x:f>
        <x:v>-0.3897058823529411</x:v>
      </x:c>
      <x:c r="C37" s="134" t="str">
        <x:v>%</x:v>
      </x:c>
      <x:c r="D37" s="134" t="str">
        <x:v>Après / Avant − 1</x:v>
      </x:c>
      <x:c r="E37" s="134" t="str">
        <x:v>Réduction favorable</x:v>
      </x:c>
    </x:row>
    <x:row r="38" ht="26" customHeight="1">
      <x:c r="A38" s="134" t="str">
        <x:v>Variation capacité</x:v>
      </x:c>
      <x:c r="B38" s="29" t="n">
        <x:f>B19/B18-1</x:f>
        <x:v>0.18051892984372597</x:v>
      </x:c>
      <x:c r="C38" s="134" t="str">
        <x:v>%</x:v>
      </x:c>
      <x:c r="D38" s="134" t="str">
        <x:v>Après / Avant − 1</x:v>
      </x:c>
      <x:c r="E38" s="134" t="str">
        <x:v>Hausse favorable</x:v>
      </x:c>
    </x:row>
    <x:row r="39" ht="26" customHeight="1">
      <x:c r="A39" s="135" t="str">
        <x:v>Variation TRS / OEE</x:v>
      </x:c>
      <x:c r="B39" s="140" t="str">
        <x:v>Non calculée</x:v>
      </x:c>
      <x:c r="C39" s="135" t="str">
        <x:v>%</x:v>
      </x:c>
      <x:c r="D39" s="135" t="str">
        <x:v>TRS futur non calculé</x:v>
      </x:c>
      <x:c r="E39" s="135" t="str">
        <x:v>Variation indisponible</x:v>
      </x:c>
    </x:row>
    <x:row r="40">
      <x:c r="A40" s="125"/>
      <x:c r="B40" s="125"/>
      <x:c r="C40" s="125"/>
      <x:c r="D40" s="125"/>
      <x:c r="E40" s="125"/>
    </x:row>
    <x:row r="41">
      <x:c r="A41" s="125"/>
      <x:c r="B41" s="125"/>
      <x:c r="C41" s="125"/>
      <x:c r="D41" s="125"/>
      <x:c r="E41" s="125"/>
    </x:row>
    <x:row r="42" ht="42" customHeight="1">
      <x:c r="A42" s="36" t="str">
        <x:v>Limite : les gains maintenance et qualité sont des hypothèses de pilote. Ils ne doivent pas être présentés comme des résultats déjà obtenus.</x:v>
      </x:c>
      <x:c r="B42" s="37"/>
      <x:c r="C42" s="37"/>
      <x:c r="D42" s="37"/>
      <x:c r="E42" s="38"/>
    </x:row>
  </x:sheetData>
  <x:mergeCells>
    <x:mergeCell ref="A2:E2"/>
    <x:mergeCell ref="A4:E4"/>
    <x:mergeCell ref="A6:E6"/>
    <x:mergeCell ref="A27:E27"/>
    <x:mergeCell ref="A42:E42"/>
  </x:mergeCells>
  <x:conditionalFormatting sqref="B8:B24">
    <x:cfRule type="expression" dxfId="0" priority="1">
      <x:formula>$D8="Hypothèse pilote"</x:formula>
    </x:cfRule>
  </x:conditionalFormatting>
  <x:pageMargins left="0.7" right="0.7" top="0.75" bottom="0.75" header="0.3" footer="0.3"/>
</x:worksheet>
</file>