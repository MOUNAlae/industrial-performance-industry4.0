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58ce12b97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case" sheetId="1" r:id="R23d1c22ecd4046ff"/>
    <x:sheet xmlns:r="http://schemas.openxmlformats.org/officeDocument/2006/relationships" name="Plan d'actions" sheetId="2" r:id="R1ae29600f5c84bdd"/>
    <x:sheet xmlns:r="http://schemas.openxmlformats.org/officeDocument/2006/relationships" name="Calculs ROI" sheetId="3" r:id="Rc2aa8216f35a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%"/>
    <x:numFmt numFmtId="202" formatCode="€#,##0"/>
    <x:numFmt numFmtId="203" formatCode="#,##0"/>
    <x:numFmt numFmtId="204" formatCode="#,##0.0"/>
    <x:numFmt numFmtId="205" formatCode="0.0%"/>
    <x:numFmt numFmtId="206" formatCode="0.0"/>
    <x:numFmt numFmtId="207" formatCode="0.00x"/>
    <x:numFmt numFmtId="208" formatCode="0.0 &quot;mois&quot;"/>
  </x:numFmts>
  <x:fonts count="17">
    <x:font>
      <x:sz val="11"/>
      <x:name val="Carlito"/>
    </x:font>
    <x:font>
      <x:b/>
      <x:sz val="15"/>
      <x:color rgb="FF0A1F33"/>
      <x:name val="Arial"/>
    </x:font>
    <x:font>
      <x:i/>
      <x:sz val="10"/>
      <x:color rgb="FF52616B"/>
      <x:name val="Arial"/>
    </x:font>
    <x:font>
      <x:b/>
      <x:sz val="10"/>
      <x:color rgb="FF0A1F33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B45309"/>
      <x:name val="Arial"/>
    </x:font>
    <x:font>
      <x:b/>
      <x:sz val="16"/>
      <x:color rgb="FF0A1F33"/>
      <x:name val="Arial"/>
    </x:font>
    <x:font>
      <x:b/>
      <x:sz val="9"/>
      <x:color rgb="FF52616B"/>
      <x:name val="Arial"/>
    </x:font>
    <x:font>
      <x:b/>
      <x:sz val="15"/>
      <x:color rgb="FF0F766E"/>
      <x:name val="Arial"/>
    </x:font>
    <x:font>
      <x:b/>
      <x:sz val="15"/>
      <x:color rgb="FF1F4E78"/>
      <x:name val="Arial"/>
    </x:font>
    <x:font>
      <x:b/>
      <x:sz val="15"/>
      <x:color rgb="FF15803D"/>
      <x:name val="Arial"/>
    </x:font>
    <x:font>
      <x:b/>
      <x:sz val="15"/>
      <x:color rgb="FFB45309"/>
      <x:name val="Arial"/>
    </x:font>
    <x:font>
      <x:b/>
      <x:sz val="10"/>
      <x:color rgb="FF15803D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0A1F33"/>
      </x:patternFill>
    </x:fill>
    <x:fill>
      <x:patternFill patternType="solid">
        <x:fgColor rgb="FFFFF7E6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DCFCE7"/>
      </x:patternFill>
    </x:fill>
  </x:fills>
  <x:borders count="2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CBD5E1"/>
      </x:left>
      <x:top style="medium">
        <x:color rgb="FF0F766E"/>
      </x:top>
    </x:border>
    <x:border>
      <x:top style="medium">
        <x:color rgb="FF0F766E"/>
      </x:top>
    </x:border>
    <x:border>
      <x:right style="thin">
        <x:color rgb="FFCBD5E1"/>
      </x:right>
      <x:top style="medium">
        <x:color rgb="FF0F766E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medium">
        <x:color rgb="FF1F4E78"/>
      </x:top>
    </x:border>
    <x:border>
      <x:top style="medium">
        <x:color rgb="FF1F4E78"/>
      </x:top>
    </x:border>
    <x:border>
      <x:right style="thin">
        <x:color rgb="FFCBD5E1"/>
      </x:right>
      <x:top style="medium">
        <x:color rgb="FF1F4E78"/>
      </x:top>
    </x:border>
    <x:border>
      <x:left style="thin">
        <x:color rgb="FFCBD5E1"/>
      </x:left>
      <x:top style="medium">
        <x:color rgb="FF15803D"/>
      </x:top>
    </x:border>
    <x:border>
      <x:top style="medium">
        <x:color rgb="FF15803D"/>
      </x:top>
    </x:border>
    <x:border>
      <x:right style="thin">
        <x:color rgb="FFCBD5E1"/>
      </x:right>
      <x:top style="medium">
        <x:color rgb="FF15803D"/>
      </x:top>
    </x:border>
    <x:border>
      <x:left style="thin">
        <x:color rgb="FFCBD5E1"/>
      </x:left>
      <x:top style="medium">
        <x:color rgb="FFB45309"/>
      </x:top>
    </x:border>
    <x:border>
      <x:top style="medium">
        <x:color rgb="FFB45309"/>
      </x:top>
    </x:border>
    <x:border>
      <x:right style="thin">
        <x:color rgb="FFCBD5E1"/>
      </x:right>
      <x:top style="medium">
        <x:color rgb="FFB45309"/>
      </x:top>
    </x:border>
    <x:border>
      <x:left style="thin">
        <x:color rgb="FFCBD5E1"/>
      </x:left>
    </x:border>
  </x:borders>
  <x:cellStyleXfs count="1">
    <x:xf numFmtId="0" fontId="0" fillId="0" borderId="0"/>
  </x:cellStyleXfs>
  <x:cellXfs count="1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right" vertical="center"/>
    </x:xf>
    <x:xf numFmtId="0" fontId="7" fillId="4" borderId="7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202" fontId="7" fillId="4" borderId="7" xfId="0" applyNumberFormat="1" applyFont="1" applyFill="1" applyBorder="1" applyAlignment="1">
      <x:alignment horizontal="right" vertical="center"/>
    </x:xf>
    <x:xf numFmtId="203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7" fontId="5" fillId="0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3" xfId="0" applyNumberFormat="1" applyFont="1" applyFill="1" applyBorder="1"/>
    <x:xf numFmtId="0" fontId="10" fillId="5" borderId="11" xfId="0" applyNumberFormat="1" applyFont="1" applyFill="1" applyBorder="1" applyAlignment="1">
      <x:alignment horizontal="center"/>
    </x:xf>
    <x:xf numFmtId="0" fontId="10" fillId="5" borderId="12" xfId="0" applyNumberFormat="1" applyFont="1" applyFill="1" applyBorder="1" applyAlignment="1">
      <x:alignment horizontal="center"/>
    </x:xf>
    <x:xf numFmtId="0" fontId="10" fillId="5" borderId="1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14" xfId="0" applyNumberFormat="1" applyFont="1" applyFill="1" applyBorder="1"/>
    <x:xf numFmtId="0" fontId="11" fillId="6" borderId="7" xfId="0" applyNumberFormat="1" applyFont="1" applyFill="1" applyBorder="1"/>
    <x:xf numFmtId="0" fontId="11" fillId="6" borderId="15" xfId="0" applyNumberFormat="1" applyFont="1" applyFill="1" applyBorder="1"/>
    <x:xf numFmtId="202" fontId="11" fillId="6" borderId="14" xfId="0" applyNumberFormat="1" applyFont="1" applyFill="1" applyBorder="1"/>
    <x:xf numFmtId="202" fontId="11" fillId="6" borderId="7" xfId="0" applyNumberFormat="1" applyFont="1" applyFill="1" applyBorder="1"/>
    <x:xf numFmtId="202" fontId="11" fillId="6" borderId="15" xfId="0" applyNumberFormat="1" applyFont="1" applyFill="1" applyBorder="1"/>
    <x:xf numFmtId="202" fontId="11" fillId="6" borderId="14" xfId="0" applyNumberFormat="1" applyFont="1" applyFill="1" applyBorder="1" applyAlignment="1">
      <x:alignment horizontal="center"/>
    </x:xf>
    <x:xf numFmtId="202" fontId="11" fillId="6" borderId="7" xfId="0" applyNumberFormat="1" applyFont="1" applyFill="1" applyBorder="1" applyAlignment="1">
      <x:alignment horizontal="center"/>
    </x:xf>
    <x:xf numFmtId="202" fontId="11" fillId="6" borderId="15" xfId="0" applyNumberFormat="1" applyFont="1" applyFill="1" applyBorder="1" applyAlignment="1">
      <x:alignment horizontal="center"/>
    </x:xf>
    <x:xf numFmtId="0" fontId="10" fillId="5" borderId="16" xfId="0" applyNumberFormat="1" applyFont="1" applyFill="1" applyBorder="1"/>
    <x:xf numFmtId="0" fontId="10" fillId="5" borderId="17" xfId="0" applyNumberFormat="1" applyFont="1" applyFill="1" applyBorder="1"/>
    <x:xf numFmtId="0" fontId="10" fillId="5" borderId="18" xfId="0" applyNumberFormat="1" applyFont="1" applyFill="1" applyBorder="1"/>
    <x:xf numFmtId="0" fontId="10" fillId="5" borderId="16" xfId="0" applyNumberFormat="1" applyFont="1" applyFill="1" applyBorder="1" applyAlignment="1">
      <x:alignment horizontal="center"/>
    </x:xf>
    <x:xf numFmtId="0" fontId="10" fillId="5" borderId="17" xfId="0" applyNumberFormat="1" applyFont="1" applyFill="1" applyBorder="1" applyAlignment="1">
      <x:alignment horizontal="center"/>
    </x:xf>
    <x:xf numFmtId="0" fontId="10" fillId="5" borderId="18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/>
    <x:xf numFmtId="0" fontId="12" fillId="6" borderId="14" xfId="0" applyNumberFormat="1" applyFont="1" applyFill="1" applyBorder="1"/>
    <x:xf numFmtId="0" fontId="12" fillId="6" borderId="7" xfId="0" applyNumberFormat="1" applyFont="1" applyFill="1" applyBorder="1"/>
    <x:xf numFmtId="0" fontId="12" fillId="6" borderId="15" xfId="0" applyNumberFormat="1" applyFont="1" applyFill="1" applyBorder="1"/>
    <x:xf numFmtId="205" fontId="12" fillId="6" borderId="14" xfId="0" applyNumberFormat="1" applyFont="1" applyFill="1" applyBorder="1"/>
    <x:xf numFmtId="205" fontId="12" fillId="6" borderId="7" xfId="0" applyNumberFormat="1" applyFont="1" applyFill="1" applyBorder="1"/>
    <x:xf numFmtId="205" fontId="12" fillId="6" borderId="15" xfId="0" applyNumberFormat="1" applyFont="1" applyFill="1" applyBorder="1"/>
    <x:xf numFmtId="205" fontId="12" fillId="6" borderId="14" xfId="0" applyNumberFormat="1" applyFont="1" applyFill="1" applyBorder="1" applyAlignment="1">
      <x:alignment horizontal="center"/>
    </x:xf>
    <x:xf numFmtId="205" fontId="12" fillId="6" borderId="7" xfId="0" applyNumberFormat="1" applyFont="1" applyFill="1" applyBorder="1" applyAlignment="1">
      <x:alignment horizontal="center"/>
    </x:xf>
    <x:xf numFmtId="205" fontId="12" fillId="6" borderId="15" xfId="0" applyNumberFormat="1" applyFont="1" applyFill="1" applyBorder="1" applyAlignment="1">
      <x:alignment horizontal="center"/>
    </x:xf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0" fillId="5" borderId="21" xfId="0" applyNumberFormat="1" applyFont="1" applyFill="1" applyBorder="1"/>
    <x:xf numFmtId="0" fontId="10" fillId="5" borderId="19" xfId="0" applyNumberFormat="1" applyFont="1" applyFill="1" applyBorder="1" applyAlignment="1">
      <x:alignment horizontal="center"/>
    </x:xf>
    <x:xf numFmtId="0" fontId="10" fillId="5" borderId="20" xfId="0" applyNumberFormat="1" applyFont="1" applyFill="1" applyBorder="1" applyAlignment="1">
      <x:alignment horizontal="center"/>
    </x:xf>
    <x:xf numFmtId="0" fontId="10" fillId="5" borderId="21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/>
    <x:xf numFmtId="0" fontId="13" fillId="6" borderId="14" xfId="0" applyNumberFormat="1" applyFont="1" applyFill="1" applyBorder="1"/>
    <x:xf numFmtId="0" fontId="13" fillId="6" borderId="7" xfId="0" applyNumberFormat="1" applyFont="1" applyFill="1" applyBorder="1"/>
    <x:xf numFmtId="0" fontId="13" fillId="6" borderId="15" xfId="0" applyNumberFormat="1" applyFont="1" applyFill="1" applyBorder="1"/>
    <x:xf numFmtId="208" fontId="13" fillId="6" borderId="14" xfId="0" applyNumberFormat="1" applyFont="1" applyFill="1" applyBorder="1"/>
    <x:xf numFmtId="208" fontId="13" fillId="6" borderId="7" xfId="0" applyNumberFormat="1" applyFont="1" applyFill="1" applyBorder="1"/>
    <x:xf numFmtId="208" fontId="13" fillId="6" borderId="15" xfId="0" applyNumberFormat="1" applyFont="1" applyFill="1" applyBorder="1"/>
    <x:xf numFmtId="208" fontId="13" fillId="6" borderId="14" xfId="0" applyNumberFormat="1" applyFont="1" applyFill="1" applyBorder="1" applyAlignment="1">
      <x:alignment horizontal="center"/>
    </x:xf>
    <x:xf numFmtId="208" fontId="13" fillId="6" borderId="7" xfId="0" applyNumberFormat="1" applyFont="1" applyFill="1" applyBorder="1" applyAlignment="1">
      <x:alignment horizontal="center"/>
    </x:xf>
    <x:xf numFmtId="208" fontId="13" fillId="6" borderId="15" xfId="0" applyNumberFormat="1" applyFont="1" applyFill="1" applyBorder="1" applyAlignment="1">
      <x:alignment horizontal="center"/>
    </x:xf>
    <x:xf numFmtId="0" fontId="10" fillId="5" borderId="22" xfId="0" applyNumberFormat="1" applyFont="1" applyFill="1" applyBorder="1"/>
    <x:xf numFmtId="0" fontId="10" fillId="5" borderId="23" xfId="0" applyNumberFormat="1" applyFont="1" applyFill="1" applyBorder="1"/>
    <x:xf numFmtId="0" fontId="10" fillId="5" borderId="24" xfId="0" applyNumberFormat="1" applyFont="1" applyFill="1" applyBorder="1"/>
    <x:xf numFmtId="0" fontId="10" fillId="5" borderId="22" xfId="0" applyNumberFormat="1" applyFont="1" applyFill="1" applyBorder="1" applyAlignment="1">
      <x:alignment horizontal="center"/>
    </x:xf>
    <x:xf numFmtId="0" fontId="10" fillId="5" borderId="23" xfId="0" applyNumberFormat="1" applyFont="1" applyFill="1" applyBorder="1" applyAlignment="1">
      <x:alignment horizontal="center"/>
    </x:xf>
    <x:xf numFmtId="0" fontId="10" fillId="5" borderId="24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/>
    <x:xf numFmtId="0" fontId="14" fillId="6" borderId="14" xfId="0" applyNumberFormat="1" applyFont="1" applyFill="1" applyBorder="1"/>
    <x:xf numFmtId="0" fontId="14" fillId="6" borderId="7" xfId="0" applyNumberFormat="1" applyFont="1" applyFill="1" applyBorder="1"/>
    <x:xf numFmtId="0" fontId="14" fillId="6" borderId="15" xfId="0" applyNumberFormat="1" applyFont="1" applyFill="1" applyBorder="1"/>
    <x:xf numFmtId="202" fontId="14" fillId="6" borderId="14" xfId="0" applyNumberFormat="1" applyFont="1" applyFill="1" applyBorder="1"/>
    <x:xf numFmtId="202" fontId="14" fillId="6" borderId="7" xfId="0" applyNumberFormat="1" applyFont="1" applyFill="1" applyBorder="1"/>
    <x:xf numFmtId="202" fontId="14" fillId="6" borderId="15" xfId="0" applyNumberFormat="1" applyFont="1" applyFill="1" applyBorder="1"/>
    <x:xf numFmtId="202" fontId="14" fillId="6" borderId="14" xfId="0" applyNumberFormat="1" applyFont="1" applyFill="1" applyBorder="1" applyAlignment="1">
      <x:alignment horizontal="center"/>
    </x:xf>
    <x:xf numFmtId="202" fontId="14" fillId="6" borderId="7" xfId="0" applyNumberFormat="1" applyFont="1" applyFill="1" applyBorder="1" applyAlignment="1">
      <x:alignment horizontal="center"/>
    </x:xf>
    <x:xf numFmtId="202" fontId="14" fillId="6" borderId="15" xfId="0" applyNumberFormat="1" applyFont="1" applyFill="1" applyBorder="1" applyAlignment="1">
      <x:alignment horizontal="center"/>
    </x:xf>
    <x:xf numFmtId="202" fontId="5" fillId="0" borderId="7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205" fontId="5" fillId="7" borderId="0" xfId="0" applyNumberFormat="1" applyFont="1" applyFill="1" applyBorder="1" applyAlignment="1">
      <x:alignment vertical="center"/>
    </x:xf>
    <x:xf numFmtId="206" fontId="5" fillId="7" borderId="0" xfId="0" applyNumberFormat="1" applyFont="1" applyFill="1" applyBorder="1" applyAlignment="1">
      <x:alignment vertical="center"/>
    </x:xf>
    <x:xf numFmtId="202" fontId="5" fillId="7" borderId="7" xfId="0" applyNumberFormat="1" applyFont="1" applyFill="1" applyBorder="1" applyAlignment="1">
      <x:alignment vertical="center"/>
    </x:xf>
    <x:xf numFmtId="202" fontId="15" fillId="7" borderId="0" xfId="0" applyNumberFormat="1" applyFont="1" applyFill="1" applyBorder="1" applyAlignment="1">
      <x:alignment vertical="center"/>
    </x:xf>
    <x:xf numFmtId="205" fontId="15" fillId="7" borderId="0" xfId="0" applyNumberFormat="1" applyFont="1" applyFill="1" applyBorder="1" applyAlignment="1">
      <x:alignment vertical="center"/>
    </x:xf>
    <x:xf numFmtId="206" fontId="15" fillId="7" borderId="0" xfId="0" applyNumberFormat="1" applyFont="1" applyFill="1" applyBorder="1" applyAlignment="1">
      <x:alignment vertical="center"/>
    </x:xf>
    <x:xf numFmtId="202" fontId="15" fillId="7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7" xfId="0" applyNumberFormat="1" applyFont="1" applyFill="1" applyBorder="1" applyAlignment="1">
      <x:alignment vertical="top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5" borderId="25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3" fillId="5" borderId="25" xfId="0" applyNumberFormat="1" applyFont="1" applyFill="1" applyBorder="1" applyAlignment="1">
      <x:alignment vertical="top" wrapText="1"/>
    </x:xf>
    <x:xf numFmtId="0" fontId="3" fillId="5" borderId="14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66b0b92e64b81" /><Relationship Type="http://schemas.openxmlformats.org/officeDocument/2006/relationships/theme" Target="/xl/theme/theme1.xml" Id="R971ea290ece5416c" /><Relationship Type="http://schemas.openxmlformats.org/officeDocument/2006/relationships/sharedStrings" Target="/xl/sharedStrings.xml" Id="R9c25b7c05f9744ca" /><Relationship Type="http://schemas.openxmlformats.org/officeDocument/2006/relationships/worksheet" Target="/xl/worksheets/sheet1.xml" Id="R23d1c22ecd4046ff" /><Relationship Type="http://schemas.openxmlformats.org/officeDocument/2006/relationships/worksheet" Target="/xl/worksheets/sheet2.xml" Id="R1ae29600f5c84bdd" /><Relationship Type="http://schemas.openxmlformats.org/officeDocument/2006/relationships/worksheet" Target="/xl/worksheets/sheet3.xml" Id="Rc2aa8216f35a4d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cb1c7be11f49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Bénéfice net annuel par scénario (€)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Bénéfice net annuel</c:v>
          </c:tx>
          <c:spPr>
            <a:solidFill xmlns:a="http://schemas.openxmlformats.org/drawingml/2006/main">
              <a:srgbClr val="1F77B4"/>
            </a:solidFill>
          </c:spPr>
          <c:cat>
            <c:strRef>
              <c:f>'Business case'!$P$26:$P$28</c:f>
              <c:strCache>
                <c:ptCount val="0"/>
              </c:strCache>
            </c:strRef>
          </c:cat>
          <c:val>
            <c:numRef>
              <c:f>'Business case'!$Q$26:$Q$28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cb1c7be11f49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86625f400b4b35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  <x:col min="17" max="17" width="16" hidden="0" customWidth="1"/>
  </x:cols>
  <x:sheetData>
    <x:row r="1">
      <x:c r="A1" s="155"/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O1" s="155"/>
      <x:c r="P1" s="155"/>
      <x:c r="Q1" s="155"/>
    </x:row>
    <x:row r="2" ht="28" customHeight="1">
      <x:c r="A2" s="47" t="str">
        <x:v>J19 — Impact économique et ROI EMA-120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155"/>
      <x:c r="Q2" s="155"/>
    </x:row>
    <x:row r="3">
      <x:c r="A3" s="155"/>
      <x:c r="B3" s="155"/>
      <x:c r="C3" s="155"/>
      <x:c r="D3" s="155"/>
      <x:c r="E3" s="155"/>
      <x:c r="F3" s="155"/>
      <x:c r="G3" s="155"/>
      <x:c r="H3" s="155"/>
      <x:c r="I3" s="155"/>
      <x:c r="J3" s="155"/>
      <x:c r="K3" s="155"/>
      <x:c r="L3" s="155"/>
      <x:c r="M3" s="155"/>
      <x:c r="N3" s="155"/>
      <x:c r="O3" s="155"/>
      <x:c r="P3" s="155"/>
      <x:c r="Q3" s="155"/>
    </x:row>
    <x:row r="4">
      <x:c r="A4" s="2" t="str">
        <x:v>Scénario présenté : Base. Les montants sont des hypothèses synthétiques et non des gains comptables constatés.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155"/>
      <x:c r="Q4" s="155"/>
    </x:row>
    <x:row r="5">
      <x:c r="A5" s="155"/>
      <x:c r="B5" s="155"/>
      <x:c r="C5" s="155"/>
      <x:c r="D5" s="155"/>
      <x:c r="E5" s="155"/>
      <x:c r="F5" s="155"/>
      <x:c r="G5" s="155"/>
      <x:c r="H5" s="155"/>
      <x:c r="I5" s="155"/>
      <x:c r="J5" s="155"/>
      <x:c r="K5" s="155"/>
      <x:c r="L5" s="155"/>
      <x:c r="M5" s="155"/>
      <x:c r="N5" s="155"/>
      <x:c r="O5" s="155"/>
      <x:c r="P5" s="155"/>
      <x:c r="Q5" s="155"/>
    </x:row>
    <x:row r="6" ht="22" customHeight="1">
      <x:c r="A6" s="53" t="str">
        <x:v>BÉNÉFICE NET ANNUEL</x:v>
      </x:c>
      <x:c r="B6" s="54"/>
      <x:c r="C6" s="55"/>
      <x:c r="D6" s="155"/>
      <x:c r="E6" s="70" t="str">
        <x:v>ROI ANNÉE 1</x:v>
      </x:c>
      <x:c r="F6" s="71"/>
      <x:c r="G6" s="72"/>
      <x:c r="H6" s="155"/>
      <x:c r="I6" s="86" t="str">
        <x:v>DÉLAI DE RETOUR</x:v>
      </x:c>
      <x:c r="J6" s="87"/>
      <x:c r="K6" s="88"/>
      <x:c r="L6" s="155"/>
      <x:c r="M6" s="102" t="str">
        <x:v>INVESTISSEMENT</x:v>
      </x:c>
      <x:c r="N6" s="103"/>
      <x:c r="O6" s="104"/>
      <x:c r="P6" s="155"/>
      <x:c r="Q6" s="155"/>
    </x:row>
    <x:row r="7" ht="22" customHeight="1">
      <x:c r="A7" s="64" t="n">
        <x:f>'Calculs ROI'!E38</x:f>
        <x:v>141229.3322500533</x:v>
      </x:c>
      <x:c r="B7" s="65"/>
      <x:c r="C7" s="66"/>
      <x:c r="D7" s="155"/>
      <x:c r="E7" s="80" t="n">
        <x:f>'Calculs ROI'!E40</x:f>
        <x:v>2.7165613750014024</x:v>
      </x:c>
      <x:c r="F7" s="81"/>
      <x:c r="G7" s="82"/>
      <x:c r="H7" s="155"/>
      <x:c r="I7" s="96" t="n">
        <x:f>'Calculs ROI'!E41</x:f>
        <x:v>3.2287910219148395</x:v>
      </x:c>
      <x:c r="J7" s="97"/>
      <x:c r="K7" s="98"/>
      <x:c r="L7" s="155"/>
      <x:c r="M7" s="112" t="n">
        <x:f>'Calculs ROI'!E25</x:f>
        <x:v>38000</x:v>
      </x:c>
      <x:c r="N7" s="113"/>
      <x:c r="O7" s="114"/>
      <x:c r="P7" s="155"/>
      <x:c r="Q7" s="155"/>
    </x:row>
    <x:row r="8">
      <x:c r="A8" s="155"/>
      <x:c r="B8" s="155"/>
      <x:c r="C8" s="155"/>
      <x:c r="D8" s="155"/>
      <x:c r="E8" s="155"/>
      <x:c r="F8" s="155"/>
      <x:c r="G8" s="155"/>
      <x:c r="H8" s="155"/>
      <x:c r="I8" s="155"/>
      <x:c r="J8" s="155"/>
      <x:c r="K8" s="155"/>
      <x:c r="L8" s="155"/>
      <x:c r="M8" s="155"/>
      <x:c r="N8" s="155"/>
      <x:c r="O8" s="155"/>
      <x:c r="P8" s="155"/>
      <x:c r="Q8" s="155"/>
    </x:row>
    <x:row r="9">
      <x:c r="A9" s="155"/>
      <x:c r="B9" s="155"/>
      <x:c r="C9" s="155"/>
      <x:c r="D9" s="155"/>
      <x:c r="E9" s="155"/>
      <x:c r="F9" s="155"/>
      <x:c r="G9" s="155"/>
      <x:c r="H9" s="155"/>
      <x:c r="I9" s="155"/>
      <x:c r="J9" s="155"/>
      <x:c r="K9" s="155"/>
      <x:c r="L9" s="155"/>
      <x:c r="M9" s="155"/>
      <x:c r="N9" s="155"/>
      <x:c r="O9" s="155"/>
      <x:c r="P9" s="155"/>
      <x:c r="Q9" s="155"/>
    </x:row>
    <x:row r="10" ht="25" customHeight="1">
      <x:c r="A10" s="13" t="str">
        <x:v>Indicateur</x:v>
      </x:c>
      <x:c r="B10" s="14" t="str">
        <x:v>Unité</x:v>
      </x:c>
      <x:c r="C10" s="14" t="str">
        <x:v>Bas</x:v>
      </x:c>
      <x:c r="D10" s="14" t="str">
        <x:v>Base</x:v>
      </x:c>
      <x:c r="E10" s="14" t="str">
        <x:v>Haut</x:v>
      </x:c>
      <x:c r="F10" s="15" t="str">
        <x:v>Lecture</x:v>
      </x:c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5"/>
      <x:c r="Q10" s="155"/>
    </x:row>
    <x:row r="11" ht="25" customHeight="1">
      <x:c r="A11" s="18" t="str">
        <x:v>Bénéfices annuels bruts</x:v>
      </x:c>
      <x:c r="B11" s="18" t="str">
        <x:v>€/an</x:v>
      </x:c>
      <x:c r="C11" s="34" t="n">
        <x:f>'Calculs ROI'!D37</x:f>
        <x:v>60069.22819413897</x:v>
      </x:c>
      <x:c r="D11" s="120" t="n">
        <x:f>'Calculs ROI'!E37</x:f>
        <x:v>147229.3322500533</x:v>
      </x:c>
      <x:c r="E11" s="34" t="n">
        <x:f>'Calculs ROI'!F37</x:f>
        <x:v>275694.984513825</x:v>
      </x:c>
      <x:c r="F11" s="18" t="str">
        <x:v>Potentiel annuel avant coûts récurrents</x:v>
      </x:c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5"/>
      <x:c r="Q11" s="155"/>
    </x:row>
    <x:row r="12" ht="25" customHeight="1">
      <x:c r="A12" s="18" t="str">
        <x:v>Bénéfice annuel net</x:v>
      </x:c>
      <x:c r="B12" s="18" t="str">
        <x:v>€/an</x:v>
      </x:c>
      <x:c r="C12" s="34" t="n">
        <x:f>'Calculs ROI'!D38</x:f>
        <x:v>52069.22819413897</x:v>
      </x:c>
      <x:c r="D12" s="120" t="n">
        <x:f>'Calculs ROI'!E38</x:f>
        <x:v>141229.3322500533</x:v>
      </x:c>
      <x:c r="E12" s="34" t="n">
        <x:f>'Calculs ROI'!F38</x:f>
        <x:v>270694.984513825</x:v>
      </x:c>
      <x:c r="F12" s="18" t="str">
        <x:v>Après coûts récurrents</x:v>
      </x:c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5"/>
      <x:c r="Q12" s="155"/>
    </x:row>
    <x:row r="13" ht="25" customHeight="1">
      <x:c r="A13" s="18" t="str">
        <x:v>ROI année 1</x:v>
      </x:c>
      <x:c r="B13" s="18" t="str">
        <x:v>%</x:v>
      </x:c>
      <x:c r="C13" s="36" t="n">
        <x:f>'Calculs ROI'!D40</x:f>
        <x:v>0.1570939598697548</x:v>
      </x:c>
      <x:c r="D13" s="121" t="n">
        <x:f>'Calculs ROI'!E40</x:f>
        <x:v>2.7165613750014024</x:v>
      </x:c>
      <x:c r="E13" s="36" t="n">
        <x:f>'Calculs ROI'!F40</x:f>
        <x:v>7.4592182660570305</x:v>
      </x:c>
      <x:c r="F13" s="18" t="str">
        <x:v>Rendement après investissement initial</x:v>
      </x:c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5"/>
      <x:c r="Q13" s="155"/>
    </x:row>
    <x:row r="14" ht="25" customHeight="1">
      <x:c r="A14" s="18" t="str">
        <x:v>Délai de retour</x:v>
      </x:c>
      <x:c r="B14" s="18" t="str">
        <x:v>mois</x:v>
      </x:c>
      <x:c r="C14" s="37" t="n">
        <x:f>'Calculs ROI'!D41</x:f>
        <x:v>10.370808608620468</x:v>
      </x:c>
      <x:c r="D14" s="122" t="n">
        <x:f>'Calculs ROI'!E41</x:f>
        <x:v>3.2287910219148395</x:v>
      </x:c>
      <x:c r="E14" s="37" t="n">
        <x:f>'Calculs ROI'!F41</x:f>
        <x:v>1.418570797274555</x:v>
      </x:c>
      <x:c r="F14" s="18" t="str">
        <x:v>Temps nécessaire pour récupérer l'investissement</x:v>
      </x:c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</x:row>
    <x:row r="15" ht="25" customHeight="1">
      <x:c r="A15" s="19" t="str">
        <x:v>Résultat cumulé sur 3 ans</x:v>
      </x:c>
      <x:c r="B15" s="19" t="str">
        <x:v>€</x:v>
      </x:c>
      <x:c r="C15" s="115" t="n">
        <x:f>'Calculs ROI'!D42</x:f>
        <x:v>111207.6845824169</x:v>
      </x:c>
      <x:c r="D15" s="123" t="n">
        <x:f>'Calculs ROI'!E42</x:f>
        <x:v>385687.9967501599</x:v>
      </x:c>
      <x:c r="E15" s="115" t="n">
        <x:f>'Calculs ROI'!F42</x:f>
        <x:v>780084.9535414749</x:v>
      </x:c>
      <x:c r="F15" s="19" t="str">
        <x:v>Sans actualisation financière</x:v>
      </x:c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5"/>
      <x:c r="Q15" s="155"/>
    </x:row>
    <x:row r="16">
      <x:c r="A16" s="155"/>
      <x:c r="B16" s="155"/>
      <x:c r="C16" s="155"/>
      <x:c r="D16" s="155"/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</x:row>
    <x:row r="17">
      <x:c r="A17" s="155"/>
      <x:c r="B17" s="155"/>
      <x:c r="C17" s="155"/>
      <x:c r="D17" s="155"/>
      <x:c r="E17" s="155"/>
      <x:c r="F17" s="155"/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5"/>
      <x:c r="Q17" s="155"/>
    </x:row>
    <x:row r="18">
      <x:c r="A18" s="5" t="str">
        <x:v>Décision et limites</x:v>
      </x:c>
      <x:c r="B18" s="6"/>
      <x:c r="C18" s="6"/>
      <x:c r="D18" s="6"/>
      <x:c r="E18" s="6"/>
      <x:c r="F18" s="7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</x:row>
    <x:row r="19" ht="32" customHeight="1">
      <x:c r="A19" s="128" t="str">
        <x:v>Décision proposée</x:v>
      </x:c>
      <x:c r="B19" s="126" t="str">
        <x:v>Lancer les cinq actions en pilotes mesurés</x:v>
      </x:c>
      <x:c r="C19" s="126"/>
      <x:c r="D19" s="126"/>
      <x:c r="E19" s="126"/>
      <x:c r="F19" s="126"/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5"/>
      <x:c r="Q19" s="155"/>
    </x:row>
    <x:row r="20" ht="32" customHeight="1">
      <x:c r="A20" s="128" t="str">
        <x:v>Cas bas</x:v>
      </x:c>
      <x:c r="B20" s="126" t="str">
        <x:v>ROI positif mais faible : validation stricte des coûts</x:v>
      </x:c>
      <x:c r="C20" s="126"/>
      <x:c r="D20" s="126"/>
      <x:c r="E20" s="126"/>
      <x:c r="F20" s="126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</x:row>
    <x:row r="21" ht="32" customHeight="1">
      <x:c r="A21" s="128" t="str">
        <x:v>Capacité</x:v>
      </x:c>
      <x:c r="B21" s="126" t="str">
        <x:v>189,2 u/j après scénario, soit encore 20,8 u/j sous la demande</x:v>
      </x:c>
      <x:c r="C21" s="126"/>
      <x:c r="D21" s="126"/>
      <x:c r="E21" s="126"/>
      <x:c r="F21" s="126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5"/>
      <x:c r="Q21" s="155"/>
    </x:row>
    <x:row r="22" ht="32" customHeight="1">
      <x:c r="A22" s="128" t="str">
        <x:v>Condition</x:v>
      </x:c>
      <x:c r="B22" s="132" t="str">
        <x:v>Aucun gain économique ne doit être déclaré avant mesure terrain</x:v>
      </x:c>
      <x:c r="C22" s="132"/>
      <x:c r="D22" s="132"/>
      <x:c r="E22" s="132"/>
      <x:c r="F22" s="132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5"/>
      <x:c r="Q22" s="155"/>
    </x:row>
    <x:row r="23" ht="32" customHeight="1">
      <x:c r="A23" s="129" t="str">
        <x:v>Risque</x:v>
      </x:c>
      <x:c r="B23" s="133" t="str">
        <x:v>Chevauchement possible entre valeur de capacité et économie d'arrêts</x:v>
      </x:c>
      <x:c r="C23" s="133"/>
      <x:c r="D23" s="133"/>
      <x:c r="E23" s="133"/>
      <x:c r="F23" s="133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5"/>
      <x:c r="Q23" s="155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5"/>
      <x:c r="Q24" s="155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5" t="str">
        <x:v>Scénario</x:v>
      </x:c>
      <x:c r="Q25" s="155" t="str">
        <x:v>Bénéfice net annuel</x:v>
      </x:c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5" t="str">
        <x:f>'Calculs ROI'!D19</x:f>
        <x:v>Bas</x:v>
      </x:c>
      <x:c r="Q26" s="155" t="n">
        <x:f>'Calculs ROI'!D38</x:f>
        <x:v>52069.22819413897</x:v>
      </x:c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5"/>
      <x:c r="P27" s="155" t="str">
        <x:f>'Calculs ROI'!E19</x:f>
        <x:v>Base</x:v>
      </x:c>
      <x:c r="Q27" s="155" t="n">
        <x:f>'Calculs ROI'!E38</x:f>
        <x:v>141229.3322500533</x:v>
      </x:c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5" t="str">
        <x:f>'Calculs ROI'!F19</x:f>
        <x:v>Haut</x:v>
      </x:c>
      <x:c r="Q28" s="155" t="n">
        <x:f>'Calculs ROI'!F38</x:f>
        <x:v>270694.984513825</x:v>
      </x:c>
    </x:row>
    <x:row r="29">
      <x:c r="A29" s="155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5"/>
      <x:c r="Q29" s="155"/>
    </x:row>
  </x:sheetData>
  <x:mergeCells>
    <x:mergeCell ref="A2:O2"/>
    <x:mergeCell ref="A4:O4"/>
    <x:mergeCell ref="A6:C6"/>
    <x:mergeCell ref="A7:C7"/>
    <x:mergeCell ref="E6:G6"/>
    <x:mergeCell ref="E7:G7"/>
    <x:mergeCell ref="I6:K6"/>
    <x:mergeCell ref="I7:K7"/>
    <x:mergeCell ref="M6:O6"/>
    <x:mergeCell ref="M7:O7"/>
    <x:mergeCell ref="A18:F18"/>
    <x:mergeCell ref="B19:F19"/>
    <x:mergeCell ref="B20:F20"/>
    <x:mergeCell ref="B21:F21"/>
    <x:mergeCell ref="B22:F22"/>
    <x:mergeCell ref="B23:F23"/>
  </x:mergeCells>
  <x:pageMargins left="0.7" right="0.7" top="0.75" bottom="0.75" header="0.3" footer="0.3"/>
  <x:drawing xmlns:r="http://schemas.openxmlformats.org/officeDocument/2006/relationships" r:id="Rfb86625f400b4b35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30" hidden="0" customWidth="1"/>
    <x:col min="4" max="4" width="29" hidden="0" customWidth="1"/>
    <x:col min="5" max="5" width="11" hidden="0" customWidth="1"/>
    <x:col min="6" max="6" width="27" hidden="0" customWidth="1"/>
    <x:col min="7" max="7" width="15" hidden="0" customWidth="1"/>
    <x:col min="8" max="8" width="15" hidden="0" customWidth="1"/>
    <x:col min="9" max="9" width="28" hidden="0" customWidth="1"/>
    <x:col min="10" max="10" width="16" hidden="0" customWidth="1"/>
    <x:col min="11" max="11" width="18" hidden="0" customWidth="1"/>
  </x:cols>
  <x:sheetData>
    <x:row r="1">
      <x:c r="A1" s="155"/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</x:row>
    <x:row r="2">
      <x:c r="A2" s="47" t="str">
        <x:v>J19 — Plan d'actions priorisé EMA-120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>
      <x:c r="A3" s="155"/>
      <x:c r="B3" s="155"/>
      <x:c r="C3" s="155"/>
      <x:c r="D3" s="155"/>
      <x:c r="E3" s="155"/>
      <x:c r="F3" s="155"/>
      <x:c r="G3" s="155"/>
      <x:c r="H3" s="155"/>
      <x:c r="I3" s="155"/>
      <x:c r="J3" s="155"/>
      <x:c r="K3" s="155"/>
    </x:row>
    <x:row r="4">
      <x:c r="A4" s="2" t="str">
        <x:v>Les responsables sont fictifs. Les cibles proviennent du plan J15 et doivent être confirmées par les pilotes.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155"/>
      <x:c r="B5" s="155"/>
      <x:c r="C5" s="155"/>
      <x:c r="D5" s="155"/>
      <x:c r="E5" s="155"/>
      <x:c r="F5" s="155"/>
      <x:c r="G5" s="155"/>
      <x:c r="H5" s="155"/>
      <x:c r="I5" s="155"/>
      <x:c r="J5" s="155"/>
      <x:c r="K5" s="155"/>
    </x:row>
    <x:row r="6">
      <x:c r="A6" s="155"/>
      <x:c r="B6" s="155"/>
      <x:c r="C6" s="155"/>
      <x:c r="D6" s="155"/>
      <x:c r="E6" s="155"/>
      <x:c r="F6" s="155"/>
      <x:c r="G6" s="155"/>
      <x:c r="H6" s="155"/>
      <x:c r="I6" s="155"/>
      <x:c r="J6" s="155"/>
      <x:c r="K6" s="155"/>
    </x:row>
    <x:row r="7" ht="48" customHeight="1">
      <x:c r="A7" s="140" t="str">
        <x:v>Ordre</x:v>
      </x:c>
      <x:c r="B7" s="141" t="str">
        <x:v>Priorité</x:v>
      </x:c>
      <x:c r="C7" s="141" t="str">
        <x:v>Action</x:v>
      </x:c>
      <x:c r="D7" s="141" t="str">
        <x:v>Responsable fictif</x:v>
      </x:c>
      <x:c r="E7" s="141" t="str">
        <x:v>Échéance</x:v>
      </x:c>
      <x:c r="F7" s="141" t="str">
        <x:v>KPI</x:v>
      </x:c>
      <x:c r="G7" s="141" t="str">
        <x:v>Référence</x:v>
      </x:c>
      <x:c r="H7" s="141" t="str">
        <x:v>Cible</x:v>
      </x:c>
      <x:c r="I7" s="141" t="str">
        <x:v>Gain attendu</x:v>
      </x:c>
      <x:c r="J7" s="141" t="str">
        <x:v>Coût synthétique</x:v>
      </x:c>
      <x:c r="K7" s="142" t="str">
        <x:v>Statut</x:v>
      </x:c>
    </x:row>
    <x:row r="8" ht="48" customHeight="1">
      <x:c r="A8" s="145" t="n">
        <x:v>1</x:v>
      </x:c>
      <x:c r="B8" s="145" t="str">
        <x:v>P1</x:v>
      </x:c>
      <x:c r="C8" s="143" t="str">
        <x:v>Plafonner le FIFO avant ST50</x:v>
      </x:c>
      <x:c r="D8" s="143" t="str">
        <x:v>Yassine Amrani — Production</x:v>
      </x:c>
      <x:c r="E8" s="145" t="str">
        <x:v>J+2</x:v>
      </x:c>
      <x:c r="F8" s="143" t="str">
        <x:v>WIP avant ST50</x:v>
      </x:c>
      <x:c r="G8" s="143" t="str">
        <x:v>664 u</x:v>
      </x:c>
      <x:c r="H8" s="143" t="str">
        <x:v>≤ 105 u</x:v>
      </x:c>
      <x:c r="I8" s="143" t="str">
        <x:v>−559 u de WIP</x:v>
      </x:c>
      <x:c r="J8" s="147" t="n">
        <x:v>2000</x:v>
      </x:c>
      <x:c r="K8" s="153" t="str">
        <x:v>À lancer</x:v>
      </x:c>
    </x:row>
    <x:row r="9" ht="48" customHeight="1">
      <x:c r="A9" s="145" t="n">
        <x:v>2</x:v>
      </x:c>
      <x:c r="B9" s="145" t="str">
        <x:v>P1</x:v>
      </x:c>
      <x:c r="C9" s="143" t="str">
        <x:v>Rééquilibrer le travail ST50</x:v>
      </x:c>
      <x:c r="D9" s="143" t="str">
        <x:v>Salma Benali — Industrialisation</x:v>
      </x:c>
      <x:c r="E9" s="145" t="str">
        <x:v>J+14</x:v>
      </x:c>
      <x:c r="F9" s="143" t="str">
        <x:v>Cycle ST50</x:v>
      </x:c>
      <x:c r="G9" s="143" t="str">
        <x:v>285 s</x:v>
      </x:c>
      <x:c r="H9" s="143" t="str">
        <x:v>251,4 s</x:v>
      </x:c>
      <x:c r="I9" s="143" t="str">
        <x:v>+18,2 u/j</x:v>
      </x:c>
      <x:c r="J9" s="147" t="n">
        <x:v>8000</x:v>
      </x:c>
      <x:c r="K9" s="153" t="str">
        <x:v>Pilote requis</x:v>
      </x:c>
    </x:row>
    <x:row r="10" ht="48" customHeight="1">
      <x:c r="A10" s="145" t="n">
        <x:v>3</x:v>
      </x:c>
      <x:c r="B10" s="145" t="str">
        <x:v>P1</x:v>
      </x:c>
      <x:c r="C10" s="143" t="str">
        <x:v>Déployer le standard SMED</x:v>
      </x:c>
      <x:c r="D10" s="143" t="str">
        <x:v>Mehdi Alaoui — Méthodes</x:v>
      </x:c>
      <x:c r="E10" s="145" t="str">
        <x:v>J+14</x:v>
      </x:c>
      <x:c r="F10" s="143" t="str">
        <x:v>Changement de série</x:v>
      </x:c>
      <x:c r="G10" s="143" t="str">
        <x:v>25 min</x:v>
      </x:c>
      <x:c r="H10" s="143" t="str">
        <x:v>≤ 12,5 min</x:v>
      </x:c>
      <x:c r="I10" s="143" t="str">
        <x:v>+6,7 u/j et −12,5 min</x:v>
      </x:c>
      <x:c r="J10" s="147" t="n">
        <x:v>6000</x:v>
      </x:c>
      <x:c r="K10" s="153" t="str">
        <x:v>Standard proposé</x:v>
      </x:c>
    </x:row>
    <x:row r="11" ht="48" customHeight="1">
      <x:c r="A11" s="145" t="n">
        <x:v>4</x:v>
      </x:c>
      <x:c r="B11" s="145" t="str">
        <x:v>P1</x:v>
      </x:c>
      <x:c r="C11" s="143" t="str">
        <x:v>Maintenance ciblée ST50</x:v>
      </x:c>
      <x:c r="D11" s="143" t="str">
        <x:v>Nadia El Fassi — Maintenance</x:v>
      </x:c>
      <x:c r="E11" s="145" t="str">
        <x:v>J+7</x:v>
      </x:c>
      <x:c r="F11" s="143" t="str">
        <x:v>Arrêts capteur + équipement</x:v>
      </x:c>
      <x:c r="G11" s="143" t="str">
        <x:v>20 739 s</x:v>
      </x:c>
      <x:c r="H11" s="143" t="str">
        <x:v>−50 %</x:v>
      </x:c>
      <x:c r="I11" s="143" t="str">
        <x:v>+2,2 u/j et −10 370 s</x:v>
      </x:c>
      <x:c r="J11" s="147" t="n">
        <x:v>12000</x:v>
      </x:c>
      <x:c r="K11" s="153" t="str">
        <x:v>Hypothèse pilote</x:v>
      </x:c>
    </x:row>
    <x:row r="12" ht="48" customHeight="1">
      <x:c r="A12" s="146" t="n">
        <x:v>5</x:v>
      </x:c>
      <x:c r="B12" s="146" t="str">
        <x:v>P2</x:v>
      </x:c>
      <x:c r="C12" s="144" t="str">
        <x:v>MSA puis poka-yoke test</x:v>
      </x:c>
      <x:c r="D12" s="144" t="str">
        <x:v>Imane Rahmani — Qualité</x:v>
      </x:c>
      <x:c r="E12" s="146" t="str">
        <x:v>J+14</x:v>
      </x:c>
      <x:c r="F12" s="144" t="str">
        <x:v>Défauts QL-C06/C07/C08</x:v>
      </x:c>
      <x:c r="G12" s="144" t="str">
        <x:v>53 défauts</x:v>
      </x:c>
      <x:c r="H12" s="144" t="str">
        <x:v>−50 %</x:v>
      </x:c>
      <x:c r="I12" s="144" t="str">
        <x:v>+1,9 u/j et −26,5 défauts</x:v>
      </x:c>
      <x:c r="J12" s="148" t="n">
        <x:v>10000</x:v>
      </x:c>
      <x:c r="K12" s="154" t="str">
        <x:v>MSA requis</x:v>
      </x:c>
    </x:row>
    <x:row r="13">
      <x:c r="A13" s="155"/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</x:row>
    <x:row r="14">
      <x:c r="A14" s="155"/>
      <x:c r="B14" s="155"/>
      <x:c r="C14" s="155"/>
      <x:c r="D14" s="155"/>
      <x:c r="E14" s="155"/>
      <x:c r="F14" s="155"/>
      <x:c r="G14" s="155"/>
      <x:c r="H14" s="155"/>
      <x:c r="I14" s="155"/>
      <x:c r="J14" s="155"/>
      <x:c r="K14" s="155"/>
    </x:row>
    <x:row r="15">
      <x:c r="A15" s="5" t="str">
        <x:v>Jalons de décision</x:v>
      </x:c>
      <x:c r="B15" s="6"/>
      <x:c r="C15" s="6"/>
      <x:c r="D15" s="6"/>
      <x:c r="E15" s="6"/>
      <x:c r="F15" s="6"/>
      <x:c r="G15" s="6"/>
      <x:c r="H15" s="6"/>
      <x:c r="I15" s="6"/>
      <x:c r="J15" s="6"/>
      <x:c r="K15" s="7"/>
    </x:row>
    <x:row r="16" ht="38" customHeight="1">
      <x:c r="A16" s="13" t="str">
        <x:v>Jalon</x:v>
      </x:c>
      <x:c r="B16" s="14" t="str">
        <x:v>Preuve requise</x:v>
      </x:c>
      <x:c r="C16" s="14"/>
      <x:c r="D16" s="14"/>
      <x:c r="E16" s="14" t="str">
        <x:v>Décision</x:v>
      </x:c>
      <x:c r="F16" s="14"/>
      <x:c r="G16" s="14"/>
      <x:c r="H16" s="14" t="str">
        <x:v>Règle</x:v>
      </x:c>
      <x:c r="I16" s="14"/>
      <x:c r="J16" s="14"/>
      <x:c r="K16" s="15"/>
    </x:row>
    <x:row r="17" ht="38" customHeight="1">
      <x:c r="A17" s="126" t="str">
        <x:v>J+2</x:v>
      </x:c>
      <x:c r="B17" s="126" t="str">
        <x:v>WIP quotidien avant ST50</x:v>
      </x:c>
      <x:c r="C17" s="126"/>
      <x:c r="D17" s="126"/>
      <x:c r="E17" s="126" t="str">
        <x:v>Maintenir ou ajuster le cap</x:v>
      </x:c>
      <x:c r="F17" s="126"/>
      <x:c r="G17" s="126"/>
      <x:c r="H17" s="126" t="str">
        <x:v>Éviter rupture aval</x:v>
      </x:c>
      <x:c r="I17" s="126"/>
      <x:c r="J17" s="126"/>
      <x:c r="K17" s="126"/>
    </x:row>
    <x:row r="18" ht="38" customHeight="1">
      <x:c r="A18" s="126" t="str">
        <x:v>J+7</x:v>
      </x:c>
      <x:c r="B18" s="126" t="str">
        <x:v>Pareto des arrêts et temps réel</x:v>
      </x:c>
      <x:c r="C18" s="126"/>
      <x:c r="D18" s="126"/>
      <x:c r="E18" s="126" t="str">
        <x:v>Confirmer la maintenance ciblée</x:v>
      </x:c>
      <x:c r="F18" s="126"/>
      <x:c r="G18" s="126"/>
      <x:c r="H18" s="126" t="str">
        <x:v>Réduction mesurée, pas supposée</x:v>
      </x:c>
      <x:c r="I18" s="126"/>
      <x:c r="J18" s="126"/>
      <x:c r="K18" s="126"/>
    </x:row>
    <x:row r="19" ht="38" customHeight="1">
      <x:c r="A19" s="126" t="str">
        <x:v>J+14</x:v>
      </x:c>
      <x:c r="B19" s="126" t="str">
        <x:v>30 cycles, 10 changements par transition et MSA</x:v>
      </x:c>
      <x:c r="C19" s="126"/>
      <x:c r="D19" s="126"/>
      <x:c r="E19" s="126" t="str">
        <x:v>Standardiser ou corriger</x:v>
      </x:c>
      <x:c r="F19" s="126"/>
      <x:c r="G19" s="126"/>
      <x:c r="H19" s="126" t="str">
        <x:v>Sécurité et qualité obligatoires</x:v>
      </x:c>
      <x:c r="I19" s="126"/>
      <x:c r="J19" s="126"/>
      <x:c r="K19" s="126"/>
    </x:row>
    <x:row r="20" ht="38" customHeight="1">
      <x:c r="A20" s="127" t="str">
        <x:v>J+21</x:v>
      </x:c>
      <x:c r="B20" s="127" t="str">
        <x:v>KPI réels et business case recalculé</x:v>
      </x:c>
      <x:c r="C20" s="127"/>
      <x:c r="D20" s="127"/>
      <x:c r="E20" s="127" t="str">
        <x:v>Décider du déploiement</x:v>
      </x:c>
      <x:c r="F20" s="127"/>
      <x:c r="G20" s="127"/>
      <x:c r="H20" s="127" t="str">
        <x:v>Étude structurelle si capacité &lt; 210 u/j</x:v>
      </x:c>
      <x:c r="I20" s="127"/>
      <x:c r="J20" s="127"/>
      <x:c r="K20" s="127"/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</x:row>
    <x:row r="22">
      <x:c r="A22" s="155"/>
      <x:c r="B22" s="155"/>
      <x:c r="C22" s="155"/>
      <x:c r="D22" s="155"/>
      <x:c r="E22" s="155"/>
      <x:c r="F22" s="155"/>
      <x:c r="G22" s="155"/>
      <x:c r="H22" s="155"/>
      <x:c r="I22" s="155"/>
      <x:c r="J22" s="155"/>
      <x:c r="K22" s="155"/>
    </x:row>
    <x:row r="23" ht="46" customHeight="1">
      <x:c r="A23" s="44" t="str">
        <x:v>Décision finale : si les mesures pilotes restent sous 210 u/j, ne pas déclarer la ligne équilibrée. Lancer l'étude structurelle ST50 prévue au Jour 15.</x:v>
      </x:c>
      <x:c r="B23" s="45"/>
      <x:c r="C23" s="45"/>
      <x:c r="D23" s="45"/>
      <x:c r="E23" s="45"/>
      <x:c r="F23" s="45"/>
      <x:c r="G23" s="45"/>
      <x:c r="H23" s="45"/>
      <x:c r="I23" s="45"/>
      <x:c r="J23" s="45"/>
      <x:c r="K23" s="46"/>
    </x:row>
  </x:sheetData>
  <x:mergeCells>
    <x:mergeCell ref="A2:K2"/>
    <x:mergeCell ref="A4:K4"/>
    <x:mergeCell ref="A15:K15"/>
    <x:mergeCell ref="B16:D16"/>
    <x:mergeCell ref="E16:G16"/>
    <x:mergeCell ref="H16:K16"/>
    <x:mergeCell ref="B17:D17"/>
    <x:mergeCell ref="E17:G17"/>
    <x:mergeCell ref="H17:K17"/>
    <x:mergeCell ref="B18:D18"/>
    <x:mergeCell ref="E18:G18"/>
    <x:mergeCell ref="H18:K18"/>
    <x:mergeCell ref="B19:D19"/>
    <x:mergeCell ref="E19:G19"/>
    <x:mergeCell ref="H19:K19"/>
    <x:mergeCell ref="B20:D20"/>
    <x:mergeCell ref="E20:G20"/>
    <x:mergeCell ref="H20:K20"/>
    <x:mergeCell ref="A23:K23"/>
  </x:mergeCells>
  <x:conditionalFormatting sqref="B8:B12">
    <x:cfRule type="containsText" dxfId="0" priority="1" operator="containsText" text="P1"/>
    <x:cfRule type="containsText" dxfId="1" priority="2" operator="containsText" text="P2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AA6C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55"/>
      <x:c r="B1" s="155"/>
      <x:c r="C1" s="155"/>
      <x:c r="D1" s="155"/>
      <x:c r="E1" s="155"/>
      <x:c r="F1" s="155"/>
    </x:row>
    <x:row r="2">
      <x:c r="A2" s="1" t="str">
        <x:v>J19 — Hypothèses et calculs économiques EMA-120</x:v>
      </x:c>
      <x:c r="B2" s="1"/>
      <x:c r="C2" s="1"/>
      <x:c r="D2" s="1"/>
      <x:c r="E2" s="1"/>
      <x:c r="F2" s="1"/>
    </x:row>
    <x:row r="3">
      <x:c r="A3" s="155"/>
      <x:c r="B3" s="155"/>
      <x:c r="C3" s="155"/>
      <x:c r="D3" s="155"/>
      <x:c r="E3" s="155"/>
      <x:c r="F3" s="155"/>
    </x:row>
    <x:row r="4">
      <x:c r="A4" s="2" t="str">
        <x:v>Les montants économiques sont synthétiques. Les gains industriels proviennent du scénario Avant / Après du Jour 18.</x:v>
      </x:c>
      <x:c r="B4" s="2"/>
      <x:c r="C4" s="2"/>
      <x:c r="D4" s="2"/>
      <x:c r="E4" s="2"/>
      <x:c r="F4" s="2"/>
    </x:row>
    <x:row r="5">
      <x:c r="A5" s="155"/>
      <x:c r="B5" s="155"/>
      <x:c r="C5" s="155"/>
      <x:c r="D5" s="155"/>
      <x:c r="E5" s="155"/>
      <x:c r="F5" s="155"/>
    </x:row>
    <x:row r="6">
      <x:c r="A6" s="5" t="str">
        <x:v>KPI industriels de référence</x:v>
      </x:c>
      <x:c r="B6" s="6"/>
      <x:c r="C6" s="6"/>
      <x:c r="D6" s="6"/>
      <x:c r="E6" s="6"/>
      <x:c r="F6" s="7"/>
    </x:row>
    <x:row r="7" ht="24" customHeight="1">
      <x:c r="A7" s="13" t="str">
        <x:v>Indicateur</x:v>
      </x:c>
      <x:c r="B7" s="14" t="str">
        <x:v>Valeur</x:v>
      </x:c>
      <x:c r="C7" s="14" t="str">
        <x:v>Unité</x:v>
      </x:c>
      <x:c r="D7" s="15" t="str">
        <x:v>Source</x:v>
      </x:c>
      <x:c r="E7" s="155"/>
      <x:c r="F7" s="155"/>
    </x:row>
    <x:row r="8" ht="24" customHeight="1">
      <x:c r="A8" s="126" t="str">
        <x:v>Capacité actuelle de référence</x:v>
      </x:c>
      <x:c r="B8" s="22" t="n">
        <x:v>160.285487555609</x:v>
      </x:c>
      <x:c r="C8" s="18" t="str">
        <x:v>u/jour</x:v>
      </x:c>
      <x:c r="D8" s="18" t="str">
        <x:v>J18 — Avant / Après</x:v>
      </x:c>
      <x:c r="E8" s="155"/>
      <x:c r="F8" s="155"/>
    </x:row>
    <x:row r="9" ht="24" customHeight="1">
      <x:c r="A9" s="126" t="str">
        <x:v>Capacité du scénario engagé</x:v>
      </x:c>
      <x:c r="B9" s="22" t="n">
        <x:v>189.22005223862737</x:v>
      </x:c>
      <x:c r="C9" s="18" t="str">
        <x:v>u/jour</x:v>
      </x:c>
      <x:c r="D9" s="18" t="str">
        <x:v>J18 — Avant / Après</x:v>
      </x:c>
      <x:c r="E9" s="155"/>
      <x:c r="F9" s="155"/>
    </x:row>
    <x:row r="10" ht="24" customHeight="1">
      <x:c r="A10" s="126" t="str">
        <x:v>Arrêts ST50 avant</x:v>
      </x:c>
      <x:c r="B10" s="22" t="n">
        <x:v>25.981944444444444</x:v>
      </x:c>
      <x:c r="C10" s="18" t="str">
        <x:v>h / 20 jours</x:v>
      </x:c>
      <x:c r="D10" s="18" t="str">
        <x:v>J18 — Avant / Après</x:v>
      </x:c>
      <x:c r="E10" s="155"/>
      <x:c r="F10" s="155"/>
    </x:row>
    <x:row r="11" ht="24" customHeight="1">
      <x:c r="A11" s="126" t="str">
        <x:v>Arrêts ST50 après</x:v>
      </x:c>
      <x:c r="B11" s="22" t="n">
        <x:v>13.726527777777777</x:v>
      </x:c>
      <x:c r="C11" s="18" t="str">
        <x:v>h / 20 jours</x:v>
      </x:c>
      <x:c r="D11" s="18" t="str">
        <x:v>J18 — Avant / Après</x:v>
      </x:c>
      <x:c r="E11" s="155"/>
      <x:c r="F11" s="155"/>
    </x:row>
    <x:row r="12" ht="24" customHeight="1">
      <x:c r="A12" s="126" t="str">
        <x:v>Rebuts avant</x:v>
      </x:c>
      <x:c r="B12" s="22" t="n">
        <x:v>6</x:v>
      </x:c>
      <x:c r="C12" s="18" t="str">
        <x:v>unités / 20 jours</x:v>
      </x:c>
      <x:c r="D12" s="18" t="str">
        <x:v>J18 — Avant / Après</x:v>
      </x:c>
      <x:c r="E12" s="155"/>
      <x:c r="F12" s="155"/>
    </x:row>
    <x:row r="13" ht="24" customHeight="1">
      <x:c r="A13" s="126" t="str">
        <x:v>Rebuts estimés après</x:v>
      </x:c>
      <x:c r="B13" s="22" t="n">
        <x:v>3.6617647058823533</x:v>
      </x:c>
      <x:c r="C13" s="18" t="str">
        <x:v>unités / 20 jours</x:v>
      </x:c>
      <x:c r="D13" s="18" t="str">
        <x:v>J18 — Avant / Après</x:v>
      </x:c>
      <x:c r="E13" s="155"/>
      <x:c r="F13" s="155"/>
    </x:row>
    <x:row r="14" ht="24" customHeight="1">
      <x:c r="A14" s="126" t="str">
        <x:v>Demande client</x:v>
      </x:c>
      <x:c r="B14" s="22" t="n">
        <x:v>210</x:v>
      </x:c>
      <x:c r="C14" s="18" t="str">
        <x:v>u/jour</x:v>
      </x:c>
      <x:c r="D14" s="18" t="str">
        <x:v>J08 / J18</x:v>
      </x:c>
      <x:c r="E14" s="155"/>
      <x:c r="F14" s="155"/>
    </x:row>
    <x:row r="15" ht="24" customHeight="1">
      <x:c r="A15" s="127" t="str">
        <x:v>Période observée</x:v>
      </x:c>
      <x:c r="B15" s="23" t="n">
        <x:v>20</x:v>
      </x:c>
      <x:c r="C15" s="19" t="str">
        <x:v>jours</x:v>
      </x:c>
      <x:c r="D15" s="19" t="str">
        <x:v>J09 à J18</x:v>
      </x:c>
      <x:c r="E15" s="155"/>
      <x:c r="F15" s="155"/>
    </x:row>
    <x:row r="16">
      <x:c r="A16" s="155"/>
      <x:c r="B16" s="155"/>
      <x:c r="C16" s="155"/>
      <x:c r="D16" s="155"/>
      <x:c r="E16" s="155"/>
      <x:c r="F16" s="155"/>
    </x:row>
    <x:row r="17">
      <x:c r="A17" s="155"/>
      <x:c r="B17" s="155"/>
      <x:c r="C17" s="155"/>
      <x:c r="D17" s="155"/>
      <x:c r="E17" s="155"/>
      <x:c r="F17" s="155"/>
    </x:row>
    <x:row r="18">
      <x:c r="A18" s="5" t="str">
        <x:v>Hypothèses économiques synthétiques</x:v>
      </x:c>
      <x:c r="B18" s="6"/>
      <x:c r="C18" s="6"/>
      <x:c r="D18" s="6"/>
      <x:c r="E18" s="6"/>
      <x:c r="F18" s="7"/>
    </x:row>
    <x:row r="19" ht="28" customHeight="1">
      <x:c r="A19" s="13" t="str">
        <x:v>Hypothèse</x:v>
      </x:c>
      <x:c r="B19" s="14" t="str">
        <x:v>Unité</x:v>
      </x:c>
      <x:c r="C19" s="14" t="str">
        <x:v>Justification</x:v>
      </x:c>
      <x:c r="D19" s="14" t="str">
        <x:v>Bas</x:v>
      </x:c>
      <x:c r="E19" s="14" t="str">
        <x:v>Base</x:v>
      </x:c>
      <x:c r="F19" s="15" t="str">
        <x:v>Haut</x:v>
      </x:c>
    </x:row>
    <x:row r="20" ht="28" customHeight="1">
      <x:c r="A20" s="126" t="str">
        <x:v>Jours de production annuels</x:v>
      </x:c>
      <x:c r="B20" s="126" t="str">
        <x:v>jours/an</x:v>
      </x:c>
      <x:c r="C20" s="126" t="str">
        <x:v>Hypothèse de calendrier</x:v>
      </x:c>
      <x:c r="D20" s="28" t="n">
        <x:v>240</x:v>
      </x:c>
      <x:c r="E20" s="28" t="n">
        <x:v>240</x:v>
      </x:c>
      <x:c r="F20" s="28" t="n">
        <x:v>240</x:v>
      </x:c>
    </x:row>
    <x:row r="21" ht="28" customHeight="1">
      <x:c r="A21" s="126" t="str">
        <x:v>Taux de réalisation des gains</x:v>
      </x:c>
      <x:c r="B21" s="126" t="str">
        <x:v>%</x:v>
      </x:c>
      <x:c r="C21" s="126" t="str">
        <x:v>Part des gains modélisés réellement obtenue</x:v>
      </x:c>
      <x:c r="D21" s="30" t="n">
        <x:v>0.5</x:v>
      </x:c>
      <x:c r="E21" s="30" t="n">
        <x:v>0.75</x:v>
      </x:c>
      <x:c r="F21" s="30" t="n">
        <x:v>1</x:v>
      </x:c>
    </x:row>
    <x:row r="22" ht="28" customHeight="1">
      <x:c r="A22" s="126" t="str">
        <x:v>Marge contributive par unité</x:v>
      </x:c>
      <x:c r="B22" s="126" t="str">
        <x:v>€/unité</x:v>
      </x:c>
      <x:c r="C22" s="126" t="str">
        <x:v>Valeur économique d'une unité supplémentaire</x:v>
      </x:c>
      <x:c r="D22" s="31" t="n">
        <x:v>15</x:v>
      </x:c>
      <x:c r="E22" s="31" t="n">
        <x:v>25</x:v>
      </x:c>
      <x:c r="F22" s="31" t="n">
        <x:v>35</x:v>
      </x:c>
    </x:row>
    <x:row r="23" ht="28" customHeight="1">
      <x:c r="A23" s="126" t="str">
        <x:v>Coût d'une heure d'arrêt</x:v>
      </x:c>
      <x:c r="B23" s="126" t="str">
        <x:v>€/h</x:v>
      </x:c>
      <x:c r="C23" s="126" t="str">
        <x:v>Coûts directs hors marge de production</x:v>
      </x:c>
      <x:c r="D23" s="31" t="n">
        <x:v>80</x:v>
      </x:c>
      <x:c r="E23" s="31" t="n">
        <x:v>120</x:v>
      </x:c>
      <x:c r="F23" s="31" t="n">
        <x:v>180</x:v>
      </x:c>
    </x:row>
    <x:row r="24" ht="28" customHeight="1">
      <x:c r="A24" s="126" t="str">
        <x:v>Valeur d'un rebut évité</x:v>
      </x:c>
      <x:c r="B24" s="126" t="str">
        <x:v>€/unité</x:v>
      </x:c>
      <x:c r="C24" s="126" t="str">
        <x:v>Matière, composants et traitement</x:v>
      </x:c>
      <x:c r="D24" s="31" t="n">
        <x:v>150</x:v>
      </x:c>
      <x:c r="E24" s="31" t="n">
        <x:v>180</x:v>
      </x:c>
      <x:c r="F24" s="31" t="n">
        <x:v>220</x:v>
      </x:c>
    </x:row>
    <x:row r="25" ht="28" customHeight="1">
      <x:c r="A25" s="126" t="str">
        <x:v>Investissement initial</x:v>
      </x:c>
      <x:c r="B25" s="126" t="str">
        <x:v>€</x:v>
      </x:c>
      <x:c r="C25" s="126" t="str">
        <x:v>FIFO, équilibrage, SMED, maintenance et qualité</x:v>
      </x:c>
      <x:c r="D25" s="31" t="n">
        <x:v>45000</x:v>
      </x:c>
      <x:c r="E25" s="31" t="n">
        <x:v>38000</x:v>
      </x:c>
      <x:c r="F25" s="31" t="n">
        <x:v>32000</x:v>
      </x:c>
    </x:row>
    <x:row r="26" ht="28" customHeight="1">
      <x:c r="A26" s="127" t="str">
        <x:v>Coûts annuels récurrents</x:v>
      </x:c>
      <x:c r="B26" s="127" t="str">
        <x:v>€/an</x:v>
      </x:c>
      <x:c r="C26" s="127" t="str">
        <x:v>Contrôles, maintenance et suivi</x:v>
      </x:c>
      <x:c r="D26" s="32" t="n">
        <x:v>8000</x:v>
      </x:c>
      <x:c r="E26" s="32" t="n">
        <x:v>6000</x:v>
      </x:c>
      <x:c r="F26" s="32" t="n">
        <x:v>5000</x:v>
      </x:c>
    </x:row>
    <x:row r="27">
      <x:c r="A27" s="155"/>
      <x:c r="B27" s="155"/>
      <x:c r="C27" s="155"/>
      <x:c r="D27" s="155"/>
      <x:c r="E27" s="155"/>
      <x:c r="F27" s="155"/>
    </x:row>
    <x:row r="28">
      <x:c r="A28" s="155"/>
      <x:c r="B28" s="155"/>
      <x:c r="C28" s="155"/>
      <x:c r="D28" s="155"/>
      <x:c r="E28" s="155"/>
      <x:c r="F28" s="155"/>
    </x:row>
    <x:row r="29">
      <x:c r="A29" s="5" t="str">
        <x:v>Résultats économiques calculés</x:v>
      </x:c>
      <x:c r="B29" s="6"/>
      <x:c r="C29" s="6"/>
      <x:c r="D29" s="6"/>
      <x:c r="E29" s="6"/>
      <x:c r="F29" s="7"/>
    </x:row>
    <x:row r="30" ht="27" customHeight="1">
      <x:c r="A30" s="13" t="str">
        <x:v>Résultat</x:v>
      </x:c>
      <x:c r="B30" s="14" t="str">
        <x:v>Unité</x:v>
      </x:c>
      <x:c r="C30" s="14" t="str">
        <x:v>Formule métier</x:v>
      </x:c>
      <x:c r="D30" s="14" t="str">
        <x:v>Bas</x:v>
      </x:c>
      <x:c r="E30" s="14" t="str">
        <x:v>Base</x:v>
      </x:c>
      <x:c r="F30" s="15" t="str">
        <x:v>Haut</x:v>
      </x:c>
    </x:row>
    <x:row r="31" ht="27" customHeight="1">
      <x:c r="A31" s="126" t="str">
        <x:v>Unités supplémentaires valorisées</x:v>
      </x:c>
      <x:c r="B31" s="126" t="str">
        <x:v>unités/an</x:v>
      </x:c>
      <x:c r="C31" s="126" t="str">
        <x:v>Gain capacité × jours × réalisation</x:v>
      </x:c>
      <x:c r="D31" s="33" t="n">
        <x:f>($B$9-$B$8)*D$20*D$21</x:f>
        <x:v>3472.1477619622055</x:v>
      </x:c>
      <x:c r="E31" s="33" t="n">
        <x:f>($B$9-$B$8)*E$20*E$21</x:f>
        <x:v>5208.221642943308</x:v>
      </x:c>
      <x:c r="F31" s="33" t="n">
        <x:f>($B$9-$B$8)*F$20*F$21</x:f>
        <x:v>6944.295523924411</x:v>
      </x:c>
    </x:row>
    <x:row r="32" ht="27" customHeight="1">
      <x:c r="A32" s="126" t="str">
        <x:v>Valeur annuelle de capacité</x:v>
      </x:c>
      <x:c r="B32" s="126" t="str">
        <x:v>€/an</x:v>
      </x:c>
      <x:c r="C32" s="126" t="str">
        <x:v>Unités supplémentaires × marge unitaire</x:v>
      </x:c>
      <x:c r="D32" s="34" t="n">
        <x:f>D31*D22</x:f>
        <x:v>52082.21642943309</x:v>
      </x:c>
      <x:c r="E32" s="34" t="n">
        <x:f>E31*E22</x:f>
        <x:v>130205.5410735827</x:v>
      </x:c>
      <x:c r="F32" s="34" t="n">
        <x:f>F31*F22</x:f>
        <x:v>243050.3433373544</x:v>
      </x:c>
    </x:row>
    <x:row r="33" ht="27" customHeight="1">
      <x:c r="A33" s="126" t="str">
        <x:v>Heures d'arrêt évitées</x:v>
      </x:c>
      <x:c r="B33" s="126" t="str">
        <x:v>h/an</x:v>
      </x:c>
      <x:c r="C33" s="126" t="str">
        <x:v>Gain arrêts × jours × réalisation</x:v>
      </x:c>
      <x:c r="D33" s="35" t="n">
        <x:f>($B$10-$B$11)/$B$15*D$20*D$21</x:f>
        <x:v>73.5325</x:v>
      </x:c>
      <x:c r="E33" s="35" t="n">
        <x:f>($B$10-$B$11)/$B$15*E$20*E$21</x:f>
        <x:v>110.29875</x:v>
      </x:c>
      <x:c r="F33" s="35" t="n">
        <x:f>($B$10-$B$11)/$B$15*F$20*F$21</x:f>
        <x:v>147.065</x:v>
      </x:c>
    </x:row>
    <x:row r="34" ht="27" customHeight="1">
      <x:c r="A34" s="126" t="str">
        <x:v>Économie annuelle sur les arrêts</x:v>
      </x:c>
      <x:c r="B34" s="126" t="str">
        <x:v>€/an</x:v>
      </x:c>
      <x:c r="C34" s="126" t="str">
        <x:v>Heures évitées × coût horaire</x:v>
      </x:c>
      <x:c r="D34" s="34" t="n">
        <x:f>D33*D23</x:f>
        <x:v>5882.6</x:v>
      </x:c>
      <x:c r="E34" s="34" t="n">
        <x:f>E33*E23</x:f>
        <x:v>13235.85</x:v>
      </x:c>
      <x:c r="F34" s="34" t="n">
        <x:f>F33*F23</x:f>
        <x:v>26471.7</x:v>
      </x:c>
    </x:row>
    <x:row r="35" ht="27" customHeight="1">
      <x:c r="A35" s="126" t="str">
        <x:v>Rebuts évités</x:v>
      </x:c>
      <x:c r="B35" s="126" t="str">
        <x:v>unités/an</x:v>
      </x:c>
      <x:c r="C35" s="126" t="str">
        <x:v>Gain rebuts × jours × réalisation</x:v>
      </x:c>
      <x:c r="D35" s="35" t="n">
        <x:f>($B$12-$B$13)/$B$15*D$20*D$21</x:f>
        <x:v>14.02941176470588</x:v>
      </x:c>
      <x:c r="E35" s="35" t="n">
        <x:f>($B$12-$B$13)/$B$15*E$20*E$21</x:f>
        <x:v>21.04411764705882</x:v>
      </x:c>
      <x:c r="F35" s="35" t="n">
        <x:f>($B$12-$B$13)/$B$15*F$20*F$21</x:f>
        <x:v>28.05882352941176</x:v>
      </x:c>
    </x:row>
    <x:row r="36" ht="27" customHeight="1">
      <x:c r="A36" s="126" t="str">
        <x:v>Économie annuelle sur les rebuts</x:v>
      </x:c>
      <x:c r="B36" s="126" t="str">
        <x:v>€/an</x:v>
      </x:c>
      <x:c r="C36" s="126" t="str">
        <x:v>Rebuts évités × valeur unitaire</x:v>
      </x:c>
      <x:c r="D36" s="34" t="n">
        <x:f>D35*D24</x:f>
        <x:v>2104.411764705882</x:v>
      </x:c>
      <x:c r="E36" s="34" t="n">
        <x:f>E35*E24</x:f>
        <x:v>3787.9411764705874</x:v>
      </x:c>
      <x:c r="F36" s="34" t="n">
        <x:f>F35*F24</x:f>
        <x:v>6172.941176470587</x:v>
      </x:c>
    </x:row>
    <x:row r="37" ht="27" customHeight="1">
      <x:c r="A37" s="126" t="str">
        <x:v>Bénéfices annuels bruts</x:v>
      </x:c>
      <x:c r="B37" s="126" t="str">
        <x:v>€/an</x:v>
      </x:c>
      <x:c r="C37" s="126" t="str">
        <x:v>Capacité + arrêts + rebuts</x:v>
      </x:c>
      <x:c r="D37" s="34" t="n">
        <x:f>SUM(D32,D34,D36)</x:f>
        <x:v>60069.22819413897</x:v>
      </x:c>
      <x:c r="E37" s="34" t="n">
        <x:f>SUM(E32,E34,E36)</x:f>
        <x:v>147229.3322500533</x:v>
      </x:c>
      <x:c r="F37" s="34" t="n">
        <x:f>SUM(F32,F34,F36)</x:f>
        <x:v>275694.984513825</x:v>
      </x:c>
    </x:row>
    <x:row r="38" ht="27" customHeight="1">
      <x:c r="A38" s="126" t="str">
        <x:v>Bénéfice annuel net</x:v>
      </x:c>
      <x:c r="B38" s="126" t="str">
        <x:v>€/an</x:v>
      </x:c>
      <x:c r="C38" s="126" t="str">
        <x:v>Brut − coûts récurrents</x:v>
      </x:c>
      <x:c r="D38" s="34" t="n">
        <x:f>D37-D26</x:f>
        <x:v>52069.22819413897</x:v>
      </x:c>
      <x:c r="E38" s="34" t="n">
        <x:f>E37-E26</x:f>
        <x:v>141229.3322500533</x:v>
      </x:c>
      <x:c r="F38" s="34" t="n">
        <x:f>F37-F26</x:f>
        <x:v>270694.984513825</x:v>
      </x:c>
    </x:row>
    <x:row r="39" ht="27" customHeight="1">
      <x:c r="A39" s="126" t="str">
        <x:v>Résultat net de l'année 1</x:v>
      </x:c>
      <x:c r="B39" s="126" t="str">
        <x:v>€</x:v>
      </x:c>
      <x:c r="C39" s="126" t="str">
        <x:v>Net annuel − investissement initial</x:v>
      </x:c>
      <x:c r="D39" s="34" t="n">
        <x:f>D38-D25</x:f>
        <x:v>7069.2281941389665</x:v>
      </x:c>
      <x:c r="E39" s="34" t="n">
        <x:f>E38-E25</x:f>
        <x:v>103229.3322500533</x:v>
      </x:c>
      <x:c r="F39" s="34" t="n">
        <x:f>F38-F25</x:f>
        <x:v>238694.98451382498</x:v>
      </x:c>
    </x:row>
    <x:row r="40" ht="27" customHeight="1">
      <x:c r="A40" s="126" t="str">
        <x:v>ROI année 1</x:v>
      </x:c>
      <x:c r="B40" s="126" t="str">
        <x:v>%</x:v>
      </x:c>
      <x:c r="C40" s="126" t="str">
        <x:v>Résultat année 1 / investissement</x:v>
      </x:c>
      <x:c r="D40" s="36" t="n">
        <x:f>D39/D25</x:f>
        <x:v>0.1570939598697548</x:v>
      </x:c>
      <x:c r="E40" s="36" t="n">
        <x:f>E39/E25</x:f>
        <x:v>2.7165613750014024</x:v>
      </x:c>
      <x:c r="F40" s="36" t="n">
        <x:f>F39/F25</x:f>
        <x:v>7.4592182660570305</x:v>
      </x:c>
    </x:row>
    <x:row r="41" ht="27" customHeight="1">
      <x:c r="A41" s="126" t="str">
        <x:v>Délai de retour</x:v>
      </x:c>
      <x:c r="B41" s="126" t="str">
        <x:v>mois</x:v>
      </x:c>
      <x:c r="C41" s="126" t="str">
        <x:v>Investissement / net annuel × 12</x:v>
      </x:c>
      <x:c r="D41" s="37" t="n">
        <x:f>D25/D38*12</x:f>
        <x:v>10.370808608620468</x:v>
      </x:c>
      <x:c r="E41" s="37" t="n">
        <x:f>E25/E38*12</x:f>
        <x:v>3.2287910219148395</x:v>
      </x:c>
      <x:c r="F41" s="37" t="n">
        <x:f>F25/F38*12</x:f>
        <x:v>1.418570797274555</x:v>
      </x:c>
    </x:row>
    <x:row r="42" ht="27" customHeight="1">
      <x:c r="A42" s="126" t="str">
        <x:v>Résultat cumulé sur 3 ans</x:v>
      </x:c>
      <x:c r="B42" s="126" t="str">
        <x:v>€</x:v>
      </x:c>
      <x:c r="C42" s="126" t="str">
        <x:v>3 × net annuel − investissement</x:v>
      </x:c>
      <x:c r="D42" s="34" t="n">
        <x:f>D38*3-D25</x:f>
        <x:v>111207.6845824169</x:v>
      </x:c>
      <x:c r="E42" s="34" t="n">
        <x:f>E38*3-E25</x:f>
        <x:v>385687.9967501599</x:v>
      </x:c>
      <x:c r="F42" s="34" t="n">
        <x:f>F38*3-F25</x:f>
        <x:v>780084.9535414749</x:v>
      </x:c>
    </x:row>
    <x:row r="43" ht="27" customHeight="1">
      <x:c r="A43" s="127" t="str">
        <x:v>Ratio bénéfices / coûts année 1</x:v>
      </x:c>
      <x:c r="B43" s="127" t="str">
        <x:v>x</x:v>
      </x:c>
      <x:c r="C43" s="127" t="str">
        <x:v>Brut / (investissement + coûts récurrents)</x:v>
      </x:c>
      <x:c r="D43" s="38" t="n">
        <x:f>D37/(D25+D26)</x:f>
        <x:v>1.1333816640403578</x:v>
      </x:c>
      <x:c r="E43" s="38" t="n">
        <x:f>E37/(E25+E26)</x:f>
        <x:v>3.346121187501211</x:v>
      </x:c>
      <x:c r="F43" s="38" t="n">
        <x:f>F37/(F25+F26)</x:f>
        <x:v>7.451215797670946</x:v>
      </x:c>
    </x:row>
    <x:row r="44">
      <x:c r="A44" s="155"/>
      <x:c r="B44" s="155"/>
      <x:c r="C44" s="155"/>
      <x:c r="D44" s="155"/>
      <x:c r="E44" s="155"/>
      <x:c r="F44" s="155"/>
    </x:row>
    <x:row r="45">
      <x:c r="A45" s="155"/>
      <x:c r="B45" s="155"/>
      <x:c r="C45" s="155"/>
      <x:c r="D45" s="155"/>
      <x:c r="E45" s="155"/>
      <x:c r="F45" s="155"/>
    </x:row>
    <x:row r="46" ht="48" customHeight="1">
      <x:c r="A46" s="44" t="str">
        <x:v>Limite essentielle : le gain de capacité et l'économie d'arrêts peuvent se recouvrir partiellement. Le business case doit être recalculé après les pilotes avec les coûts réels et le débit réellement vendu.</x:v>
      </x:c>
      <x:c r="B46" s="45"/>
      <x:c r="C46" s="45"/>
      <x:c r="D46" s="45"/>
      <x:c r="E46" s="45"/>
      <x:c r="F46" s="46"/>
    </x:row>
  </x:sheetData>
  <x:mergeCells>
    <x:mergeCell ref="A2:F2"/>
    <x:mergeCell ref="A4:F4"/>
    <x:mergeCell ref="A6:F6"/>
    <x:mergeCell ref="A18:F18"/>
    <x:mergeCell ref="A29:F29"/>
    <x:mergeCell ref="A46:F46"/>
  </x:mergeCells>
  <x:pageMargins left="0.7" right="0.7" top="0.75" bottom="0.75" header="0.3" footer="0.3"/>
</x:worksheet>
</file>