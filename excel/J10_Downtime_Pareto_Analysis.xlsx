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5e1c3c1cf74a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a6011985a2b34ce1"/>
    <x:sheet xmlns:r="http://schemas.openxmlformats.org/officeDocument/2006/relationships" name="Pareto causes" sheetId="2" r:id="Rb050283ed1aa45c8"/>
    <x:sheet xmlns:r="http://schemas.openxmlformats.org/officeDocument/2006/relationships" name="Postes et équipes" sheetId="3" r:id="R47b237c049194bca"/>
    <x:sheet xmlns:r="http://schemas.openxmlformats.org/officeDocument/2006/relationships" name="Tendance" sheetId="4" r:id="R3d6a30e020214ade"/>
    <x:sheet xmlns:r="http://schemas.openxmlformats.org/officeDocument/2006/relationships" name="Sources" sheetId="5" r:id="Rfea366061b9840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#,##0.0"/>
    <x:numFmt numFmtId="202" formatCode="0"/>
    <x:numFmt numFmtId="203" formatCode="0.00%"/>
    <x:numFmt numFmtId="204" formatCode="0.0"/>
    <x:numFmt numFmtId="205" formatCode="0.00"/>
  </x:numFmts>
  <x:fonts count="14">
    <x:font>
      <x:sz val="11"/>
      <x:name val="Carlito"/>
    </x:font>
    <x:font>
      <x:b/>
      <x:sz val="15"/>
      <x:color rgb="FF0A1F33"/>
      <x:name val="Arial"/>
    </x:font>
    <x:font>
      <x:i/>
      <x:sz val="9"/>
      <x:color rgb="FF64748B"/>
      <x:name val="Arial"/>
    </x:font>
    <x:font>
      <x:b/>
      <x:sz val="10"/>
      <x:color rgb="FFFFFFFF"/>
      <x:name val="Arial"/>
    </x:font>
    <x:font>
      <x:sz val="10"/>
      <x:color rgb="FF16202A"/>
      <x:name val="Arial"/>
    </x:font>
    <x:font>
      <x:b/>
      <x:sz val="10"/>
      <x:color rgb="FF26734D"/>
      <x:name val="Arial"/>
    </x:font>
    <x:font>
      <x:b/>
      <x:sz val="10"/>
      <x:color rgb="FFC0392B"/>
      <x:name val="Arial"/>
    </x:font>
    <x:font>
      <x:sz val="9"/>
      <x:color rgb="FF16202A"/>
      <x:name val="Arial"/>
    </x:font>
    <x:font>
      <x:b/>
      <x:sz val="9"/>
      <x:color rgb="FF16202A"/>
      <x:name val="Arial"/>
    </x:font>
    <x:font>
      <x:b/>
      <x:sz val="10"/>
      <x:color rgb="FF0A1F33"/>
      <x:name val="Arial"/>
    </x:font>
    <x:font>
      <x:b/>
      <x:sz val="17"/>
      <x:color rgb="FF0A1F33"/>
      <x:name val="Arial"/>
    </x:font>
    <x:font>
      <x:b/>
      <x:sz val="17"/>
      <x:color rgb="FFC0392B"/>
      <x:name val="Arial"/>
    </x:font>
    <x:font>
      <x:b/>
      <x:sz val="9"/>
      <x:color rgb="FF0A1F33"/>
      <x:name val="Arial"/>
    </x:font>
    <x:font>
      <x:b/>
      <x:sz val="12"/>
      <x:color rgb="FF16202A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A1F33"/>
      </x:patternFill>
    </x:fill>
    <x:fill>
      <x:patternFill patternType="solid">
        <x:fgColor rgb="FFFFF2CC"/>
      </x:patternFill>
    </x:fill>
    <x:fill>
      <x:patternFill patternType="solid">
        <x:fgColor rgb="FFF4F7FA"/>
      </x:patternFill>
    </x:fill>
    <x:fill>
      <x:patternFill patternType="solid">
        <x:fgColor rgb="FFFDE9E7"/>
      </x:patternFill>
    </x:fill>
    <x:fill>
      <x:patternFill patternType="solid">
        <x:fgColor rgb="FFEAF3FF"/>
      </x:patternFill>
    </x:fill>
    <x:fill>
      <x:patternFill patternType="solid">
        <x:fgColor rgb="FFC0392B"/>
      </x:patternFill>
    </x:fill>
  </x:fills>
  <x:borders count="16">
    <x:border/>
    <x:border>
      <x:bottom style="thin">
        <x:color rgb="FF28B8D5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C9A227"/>
      </x:left>
      <x:top style="thin">
        <x:color rgb="FFC9A227"/>
      </x:top>
    </x:border>
    <x:border>
      <x:top style="thin">
        <x:color rgb="FFC9A227"/>
      </x:top>
    </x:border>
    <x:border>
      <x:right style="thin">
        <x:color rgb="FFC9A227"/>
      </x:right>
      <x:top style="thin">
        <x:color rgb="FFC9A227"/>
      </x:top>
    </x:border>
    <x:border>
      <x:left style="thin">
        <x:color rgb="FFC9A227"/>
      </x:left>
    </x:border>
    <x:border>
      <x:right style="thin">
        <x:color rgb="FFC9A227"/>
      </x:right>
    </x:border>
    <x:border>
      <x:left style="thin">
        <x:color rgb="FFC9A227"/>
      </x:left>
      <x:bottom style="thin">
        <x:color rgb="FFC9A227"/>
      </x:bottom>
    </x:border>
    <x:border>
      <x:bottom style="thin">
        <x:color rgb="FFC9A227"/>
      </x:bottom>
    </x:border>
    <x:border>
      <x:right style="thin">
        <x:color rgb="FFC9A227"/>
      </x:right>
      <x:bottom style="thin">
        <x:color rgb="FFC9A227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200" fontId="4" fillId="3" borderId="4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201" fontId="4" fillId="4" borderId="3" xfId="0" applyNumberFormat="1" applyFont="1" applyFill="1" applyBorder="1" applyAlignment="1">
      <x:alignment vertical="center"/>
    </x:xf>
    <x:xf numFmtId="201" fontId="4" fillId="4" borderId="4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202" fontId="4" fillId="4" borderId="3" xfId="0" applyNumberFormat="1" applyFont="1" applyFill="1" applyBorder="1" applyAlignment="1">
      <x:alignment vertical="center"/>
    </x:xf>
    <x:xf numFmtId="202" fontId="4" fillId="4" borderId="4" xfId="0" applyNumberFormat="1" applyFont="1" applyFill="1" applyBorder="1" applyAlignment="1">
      <x:alignment vertical="center"/>
    </x:xf>
    <x:xf numFmtId="203" fontId="4" fillId="4" borderId="3" xfId="0" applyNumberFormat="1" applyFont="1" applyFill="1" applyBorder="1" applyAlignment="1">
      <x:alignment vertical="center"/>
    </x:xf>
    <x:xf numFmtId="203" fontId="4" fillId="4" borderId="4" xfId="0" applyNumberFormat="1" applyFont="1" applyFill="1" applyBorder="1" applyAlignment="1">
      <x:alignment vertical="center"/>
    </x:xf>
    <x:xf numFmtId="203" fontId="4" fillId="3" borderId="3" xfId="0" applyNumberFormat="1" applyFont="1" applyFill="1" applyBorder="1" applyAlignment="1">
      <x:alignment vertical="center"/>
    </x:xf>
    <x:xf numFmtId="203" fontId="4" fillId="3" borderId="4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6" fillId="5" borderId="3" xfId="0" applyNumberFormat="1" applyFont="1" applyFill="1" applyBorder="1" applyAlignment="1">
      <x:alignment vertical="center"/>
    </x:xf>
    <x:xf numFmtId="201" fontId="6" fillId="5" borderId="3" xfId="0" applyNumberFormat="1" applyFont="1" applyFill="1" applyBorder="1" applyAlignment="1">
      <x:alignment vertical="center"/>
    </x:xf>
    <x:xf numFmtId="203" fontId="6" fillId="5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8" fillId="3" borderId="5" xfId="0" applyNumberFormat="1" applyFont="1" applyFill="1" applyBorder="1" applyAlignment="1">
      <x:alignment vertical="center" wrapText="1"/>
    </x:xf>
    <x:xf numFmtId="0" fontId="7" fillId="3" borderId="6" xfId="0" applyNumberFormat="1" applyFont="1" applyFill="1" applyBorder="1" applyAlignment="1">
      <x:alignment vertical="center" wrapText="1"/>
    </x:xf>
    <x:xf numFmtId="0" fontId="7" fillId="3" borderId="7" xfId="0" applyNumberFormat="1" applyFont="1" applyFill="1" applyBorder="1" applyAlignment="1">
      <x:alignment vertical="center" wrapText="1"/>
    </x:xf>
    <x:xf numFmtId="0" fontId="8" fillId="3" borderId="8" xfId="0" applyNumberFormat="1" applyFont="1" applyFill="1" applyBorder="1" applyAlignment="1">
      <x:alignment vertical="center" wrapText="1"/>
    </x:xf>
    <x:xf numFmtId="0" fontId="7" fillId="3" borderId="9" xfId="0" applyNumberFormat="1" applyFont="1" applyFill="1" applyBorder="1" applyAlignment="1">
      <x:alignment vertical="center" wrapText="1"/>
    </x:xf>
    <x:xf numFmtId="0" fontId="8" fillId="3" borderId="10" xfId="0" applyNumberFormat="1" applyFont="1" applyFill="1" applyBorder="1" applyAlignment="1">
      <x:alignment vertical="center" wrapText="1"/>
    </x:xf>
    <x:xf numFmtId="0" fontId="7" fillId="3" borderId="11" xfId="0" applyNumberFormat="1" applyFont="1" applyFill="1" applyBorder="1" applyAlignment="1">
      <x:alignment vertical="center" wrapText="1"/>
    </x:xf>
    <x:xf numFmtId="0" fontId="7" fillId="3" borderId="12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center"/>
    </x:xf>
    <x:xf numFmtId="0" fontId="9" fillId="6" borderId="4" xfId="0" applyNumberFormat="1" applyFont="1" applyFill="1" applyBorder="1" applyAlignment="1">
      <x:alignment vertical="center"/>
    </x:xf>
    <x:xf numFmtId="201" fontId="9" fillId="6" borderId="4" xfId="0" applyNumberFormat="1" applyFont="1" applyFill="1" applyBorder="1" applyAlignment="1">
      <x:alignment vertical="center"/>
    </x:xf>
    <x:xf numFmtId="203" fontId="9" fillId="6" borderId="4" xfId="0" applyNumberFormat="1" applyFont="1" applyFill="1" applyBorder="1" applyAlignment="1">
      <x:alignment vertical="center"/>
    </x:xf>
    <x:xf numFmtId="202" fontId="9" fillId="6" borderId="4" xfId="0" applyNumberFormat="1" applyFont="1" applyFill="1" applyBorder="1" applyAlignment="1">
      <x:alignment vertical="center"/>
    </x:xf>
    <x:xf numFmtId="204" fontId="4" fillId="4" borderId="3" xfId="0" applyNumberFormat="1" applyFont="1" applyFill="1" applyBorder="1" applyAlignment="1">
      <x:alignment vertical="center"/>
    </x:xf>
    <x:xf numFmtId="204" fontId="4" fillId="4" borderId="4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2" borderId="13" xfId="0" applyNumberFormat="1" applyFont="1" applyFill="1" applyBorder="1"/>
    <x:xf numFmtId="0" fontId="3" fillId="2" borderId="13" xfId="0" applyNumberFormat="1" applyFont="1" applyFill="1" applyBorder="1"/>
    <x:xf numFmtId="0" fontId="0" fillId="6" borderId="14" xfId="0" applyNumberFormat="1" applyFont="1" applyFill="1" applyBorder="1"/>
    <x:xf numFmtId="0" fontId="10" fillId="6" borderId="14" xfId="0" applyNumberFormat="1" applyFont="1" applyFill="1" applyBorder="1"/>
    <x:xf numFmtId="0" fontId="10" fillId="6" borderId="14" xfId="0" applyNumberFormat="1" applyFont="1" applyFill="1" applyBorder="1" applyAlignment="1">
      <x:alignment horizontal="center"/>
    </x:xf>
    <x:xf numFmtId="0" fontId="2" fillId="0" borderId="15" xfId="0" applyNumberFormat="1" applyFont="1" applyFill="1" applyBorder="1"/>
    <x:xf numFmtId="0" fontId="2" fillId="0" borderId="15" xfId="0" applyNumberFormat="1" applyFont="1" applyFill="1" applyBorder="1" applyAlignment="1">
      <x:alignment horizontal="center"/>
    </x:xf>
    <x:xf numFmtId="0" fontId="0" fillId="7" borderId="13" xfId="0" applyNumberFormat="1" applyFont="1" applyFill="1" applyBorder="1"/>
    <x:xf numFmtId="0" fontId="3" fillId="7" borderId="13" xfId="0" applyNumberFormat="1" applyFont="1" applyFill="1" applyBorder="1"/>
    <x:xf numFmtId="0" fontId="0" fillId="5" borderId="14" xfId="0" applyNumberFormat="1" applyFont="1" applyFill="1" applyBorder="1"/>
    <x:xf numFmtId="0" fontId="11" fillId="5" borderId="14" xfId="0" applyNumberFormat="1" applyFont="1" applyFill="1" applyBorder="1"/>
    <x:xf numFmtId="0" fontId="11" fillId="5" borderId="14" xfId="0" applyNumberFormat="1" applyFont="1" applyFill="1" applyBorder="1" applyAlignment="1">
      <x:alignment horizontal="center"/>
    </x:xf>
    <x:xf numFmtId="204" fontId="10" fillId="6" borderId="14" xfId="0" applyNumberFormat="1" applyFont="1" applyFill="1" applyBorder="1" applyAlignment="1">
      <x:alignment horizontal="center"/>
    </x:xf>
    <x:xf numFmtId="203" fontId="10" fillId="6" borderId="14" xfId="0" applyNumberFormat="1" applyFont="1" applyFill="1" applyBorder="1" applyAlignment="1">
      <x:alignment horizontal="center"/>
    </x:xf>
    <x:xf numFmtId="205" fontId="11" fillId="5" borderId="14" xfId="0" applyNumberFormat="1" applyFont="1" applyFill="1" applyBorder="1" applyAlignment="1">
      <x:alignment horizontal="center"/>
    </x:xf>
    <x:xf numFmtId="200" fontId="10" fillId="6" borderId="14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203" fontId="13" fillId="0" borderId="0" xfId="0" applyNumberFormat="1" applyFont="1" applyFill="1" applyBorder="1"/>
    <x:xf numFmtId="202" fontId="13" fillId="0" borderId="0" xfId="0" applyNumberFormat="1" applyFont="1" applyFill="1" applyBorder="1"/>
    <x:xf numFmtId="200" fontId="4" fillId="4" borderId="3" xfId="0" applyNumberFormat="1" applyFont="1" applyFill="1" applyBorder="1" applyAlignment="1">
      <x:alignment vertical="center"/>
    </x:xf>
    <x:xf numFmtId="200" fontId="4" fillId="4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1b7a63dee84dfd" /><Relationship Type="http://schemas.openxmlformats.org/officeDocument/2006/relationships/theme" Target="/xl/theme/theme1.xml" Id="R59ffba5017774ea8" /><Relationship Type="http://schemas.openxmlformats.org/officeDocument/2006/relationships/sharedStrings" Target="/xl/sharedStrings.xml" Id="Rece530eb2a82458e" /><Relationship Type="http://schemas.openxmlformats.org/officeDocument/2006/relationships/worksheet" Target="/xl/worksheets/sheet1.xml" Id="Ra6011985a2b34ce1" /><Relationship Type="http://schemas.openxmlformats.org/officeDocument/2006/relationships/worksheet" Target="/xl/worksheets/sheet2.xml" Id="Rb050283ed1aa45c8" /><Relationship Type="http://schemas.openxmlformats.org/officeDocument/2006/relationships/worksheet" Target="/xl/worksheets/sheet3.xml" Id="R47b237c049194bca" /><Relationship Type="http://schemas.openxmlformats.org/officeDocument/2006/relationships/worksheet" Target="/xl/worksheets/sheet4.xml" Id="R3d6a30e020214ade" /><Relationship Type="http://schemas.openxmlformats.org/officeDocument/2006/relationships/worksheet" Target="/xl/worksheets/sheet5.xml" Id="Rfea366061b9840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f9b3fed8c7b4a6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0f840d6207a4545" /><Relationship Type="http://schemas.openxmlformats.org/officeDocument/2006/relationships/chart" Target="/xl/drawings/charts/chart3.xml" Id="R0b443afe0ac0498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7d44f920ff63446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e4ccb25f405f42a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Arrêts non planifiés par catégorie (s)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Durée (s)</c:v>
          </c:tx>
          <c:spPr>
            <a:solidFill xmlns:a="http://schemas.openxmlformats.org/drawingml/2006/main">
              <a:srgbClr val="E67E22"/>
            </a:solidFill>
          </c:spPr>
          <c:cat>
            <c:strRef>
              <c:f>'Synthèse'!$A$16:$A$22</c:f>
              <c:strCache>
                <c:ptCount val="0"/>
              </c:strCache>
            </c:strRef>
          </c:cat>
          <c:val>
            <c:numRef>
              <c:f>'Synthèse'!$C$16:$C$22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Secondes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Durée non planifiée par cause (s)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Durée (s)</c:v>
          </c:tx>
          <c:spPr>
            <a:solidFill xmlns:a="http://schemas.openxmlformats.org/drawingml/2006/main">
              <a:srgbClr val="E67E22"/>
            </a:solidFill>
          </c:spPr>
          <c:cat>
            <c:strRef>
              <c:f>'Pareto causes'!$B$7:$B$20</c:f>
              <c:strCache>
                <c:ptCount val="0"/>
              </c:strCache>
            </c:strRef>
          </c:cat>
          <c:val>
            <c:numRef>
              <c:f>'Pareto causes'!$F$7:$F$20</c:f>
              <c:numCache>
                <c:formatCode>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Secondes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Part cumulée des arrêts non planifiés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Cumul</c:v>
          </c:tx>
          <c:spPr>
            <a:solidFill xmlns:a="http://schemas.openxmlformats.org/drawingml/2006/main">
              <a:srgbClr val="0B63CE"/>
            </a:solidFill>
            <a:ln xmlns:a="http://schemas.openxmlformats.org/drawingml/2006/main" w="19050">
              <a:solidFill>
                <a:srgbClr val="0B63CE"/>
              </a:solidFill>
              <a:prstDash val="solid"/>
            </a:ln>
          </c:spPr>
          <c:marker>
            <c:symbol val="none"/>
          </c:marker>
          <c:cat>
            <c:strRef>
              <c:f>'Pareto causes'!$B$7:$B$20</c:f>
              <c:strCache>
                <c:ptCount val="0"/>
              </c:strCache>
            </c:strRef>
          </c:cat>
          <c:val>
            <c:numRef>
              <c:f>'Pareto causes'!$I$7:$I$20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Durée non planifiée par poste (s)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Durée non planifiée (s)</c:v>
          </c:tx>
          <c:spPr>
            <a:solidFill xmlns:a="http://schemas.openxmlformats.org/drawingml/2006/main">
              <a:srgbClr val="E67E22"/>
            </a:solidFill>
          </c:spPr>
          <c:cat>
            <c:strRef>
              <c:f>'Postes et équipes'!$A$7:$A$13</c:f>
              <c:strCache>
                <c:ptCount val="0"/>
              </c:strCache>
            </c:strRef>
          </c:cat>
          <c:val>
            <c:numRef>
              <c:f>'Postes et équipes'!$E$7:$E$13</c:f>
              <c:numCache>
                <c:formatCode>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Secondes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Durée non planifiée par jour (s)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Durée non planifiée (s)</c:v>
          </c:tx>
          <c:spPr>
            <a:solidFill xmlns:a="http://schemas.openxmlformats.org/drawingml/2006/main">
              <a:srgbClr val="C0392B"/>
            </a:solidFill>
            <a:ln xmlns:a="http://schemas.openxmlformats.org/drawingml/2006/main" w="19050">
              <a:solidFill>
                <a:srgbClr val="C0392B"/>
              </a:solidFill>
              <a:prstDash val="solid"/>
            </a:ln>
          </c:spPr>
          <c:marker>
            <c:symbol val="none"/>
          </c:marker>
          <c:cat>
            <c:strRef>
              <c:f>'Tendance'!$A$7:$A$26</c:f>
              <c:strCache>
                <c:ptCount val="0"/>
              </c:strCache>
            </c:strRef>
          </c:cat>
          <c:val>
            <c:numRef>
              <c:f>'Tendance'!$E$7:$E$26</c:f>
              <c:numCache>
                <c:formatCode>#,##0.0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Secondes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13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9b3fed8c7b4a6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5</xdr:row>
      <xdr:rowOff>0</xdr:rowOff>
    </xdr:from>
    <xdr:to>
      <xdr:col>19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f840d6207a4545"/>
        </a:graphicData>
      </a:graphic>
    </xdr:graphicFrame>
    <xdr:clientData/>
  </xdr:twoCellAnchor>
  <xdr:twoCellAnchor>
    <xdr:from>
      <xdr:col>10</xdr:col>
      <xdr:colOff>0</xdr:colOff>
      <xdr:row>21</xdr:row>
      <xdr:rowOff>0</xdr:rowOff>
    </xdr:from>
    <xdr:to>
      <xdr:col>19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443afe0ac0498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10</xdr:col>
      <xdr:colOff>0</xdr:colOff>
      <xdr:row>5</xdr:row>
      <xdr:rowOff>0</xdr:rowOff>
    </xdr:from>
    <xdr:to>
      <xdr:col>18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44f920ff63446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10</xdr:col>
      <xdr:colOff>0</xdr:colOff>
      <xdr:row>5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ccb25f405f42a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b1d62f83a0c486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2aa45b2d6daa4d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875412bb88a146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aa8909402c944d6a" /></Relationships>
</file>

<file path=xl/worksheets/sheet1.xml><?xml version="1.0" encoding="utf-8"?>
<x:worksheet xmlns:x="http://schemas.openxmlformats.org/spreadsheetml/2006/main">
  <x:sheetPr>
    <x:tabColor rgb="FF0A1F33"/>
  </x:sheetPr>
  <x:sheetViews>
    <x:sheetView showGridLines="0" workbookViewId="0"/>
  </x:sheetViews>
  <x:sheetFormatPr defaultRowHeight="15"/>
  <x:cols>
    <x:col min="1" max="1" width="23" hidden="0" customWidth="1"/>
    <x:col min="4" max="4" width="23" hidden="0" customWidth="1"/>
    <x:col min="7" max="7" width="23" hidden="0" customWidth="1"/>
    <x:col min="10" max="10" width="23" hidden="0" customWidth="1"/>
    <x:col min="2" max="2" width="15" hidden="0" customWidth="1"/>
    <x:col min="3" max="3" width="14" hidden="0" customWidth="1"/>
    <x:col min="5" max="5" width="4" hidden="0" customWidth="1"/>
    <x:col min="6" max="6" width="4" hidden="0" customWidth="1"/>
    <x:col min="8" max="8" width="4" hidden="0" customWidth="1"/>
    <x:col min="9" max="9" width="4" hidden="0" customWidth="1"/>
    <x:col min="11" max="11" width="12" hidden="0" customWidth="1"/>
    <x:col min="12" max="12" width="12" hidden="0" customWidth="1"/>
  </x:cols>
  <x:sheetData>
    <x:row r="1" ht="22" customHeight="1"/>
    <x:row r="2" ht="22" customHeight="1">
      <x:c r="A2" s="1" t="str">
        <x:v>EMA-120 - Downtime Analysis</x:v>
      </x:c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3" t="str">
        <x:v>Pareto des causes, postes, équipes et tendance. Les changements planifiés sont séparés des priorités correctives.</x:v>
      </x:c>
    </x:row>
    <x:row r="5" ht="22" customHeight="1"/>
    <x:row r="6" ht="28" customHeight="1">
      <x:c r="A6" s="62" t="str">
        <x:v>Temps d'arrêt total</x:v>
      </x:c>
      <x:c r="D6" s="62" t="str">
        <x:v>Part planifiée</x:v>
      </x:c>
      <x:c r="G6" s="69" t="str">
        <x:v>Temps non planifié</x:v>
      </x:c>
      <x:c r="J6" s="62" t="str">
        <x:v>Événements</x:v>
      </x:c>
    </x:row>
    <x:row r="7" ht="36" customHeight="1">
      <x:c r="A7" s="73" t="n">
        <x:f>Sources!B9/3600</x:f>
        <x:v>170.56277777777777</x:v>
      </x:c>
      <x:c r="D7" s="74" t="n">
        <x:f>Sources!B11/Sources!B9</x:f>
        <x:v>0.8794415871640615</x:v>
      </x:c>
      <x:c r="G7" s="75" t="n">
        <x:f>Sources!B13/3600</x:f>
        <x:v>20.56277777777778</x:v>
      </x:c>
      <x:c r="J7" s="76" t="n">
        <x:f>Sources!B8</x:f>
        <x:v>949</x:v>
      </x:c>
    </x:row>
    <x:row r="8" ht="22" customHeight="1">
      <x:c r="A8" s="67" t="str">
        <x:v>heures</x:v>
      </x:c>
      <x:c r="D8" s="67" t="str">
        <x:v>du temps d'arrêt</x:v>
      </x:c>
      <x:c r="G8" s="67" t="str">
        <x:v>heures</x:v>
      </x:c>
      <x:c r="J8" s="67" t="str">
        <x:v>événements OEE</x:v>
      </x:c>
    </x:row>
    <x:row r="9" ht="22" customHeight="1"/>
    <x:row r="10" ht="22" customHeight="1">
      <x:c r="A10" s="77" t="str">
        <x:v>Cause non planifiée n°1</x:v>
      </x:c>
      <x:c r="B10"/>
      <x:c r="C10"/>
      <x:c r="D10" s="77" t="str">
        <x:v>Poste n°1</x:v>
      </x:c>
      <x:c r="E10"/>
      <x:c r="F10"/>
      <x:c r="G10" s="77" t="str">
        <x:v>Part S1</x:v>
      </x:c>
      <x:c r="H10"/>
      <x:c r="I10"/>
      <x:c r="J10" s="77" t="str">
        <x:v>Causes pour 80 %</x:v>
      </x:c>
      <x:c r="K10"/>
    </x:row>
    <x:row r="11" ht="22" customHeight="1">
      <x:c r="A11" s="78" t="str">
        <x:f>'Pareto causes'!B7</x:f>
        <x:v>DT-C02</x:v>
      </x:c>
      <x:c r="D11" s="78" t="str">
        <x:f>'Postes et équipes'!A11</x:f>
        <x:v>ST50</x:v>
      </x:c>
      <x:c r="G11" s="79" t="n">
        <x:f>'Postes et équipes'!G18</x:f>
        <x:v>0.5257747277983411</x:v>
      </x:c>
      <x:c r="J11" s="80" t="n">
        <x:v>9</x:v>
      </x:c>
    </x:row>
    <x:row r="12" ht="22" customHeight="1"/>
    <x:row r="13" ht="22" customHeight="1"/>
    <x:row r="14" ht="22" customHeight="1"/>
    <x:row r="15" ht="40" customHeight="1">
      <x:c r="A15" s="9" t="str">
        <x:v>Catégorie non planifiée</x:v>
      </x:c>
      <x:c r="B15" s="9" t="str">
        <x:v>Fréquence</x:v>
      </x:c>
      <x:c r="C15" s="9" t="str">
        <x:v>Durée (s)</x:v>
      </x:c>
      <x:c r="D15" s="9" t="str">
        <x:v>Part</x:v>
      </x:c>
    </x:row>
    <x:row r="16" ht="22" customHeight="1">
      <x:c r="A16" s="18" t="str">
        <x:f>Sources!B36</x:f>
        <x:v>Panne équipement</x:v>
      </x:c>
      <x:c r="B16" s="81" t="n">
        <x:f>Sources!C36</x:f>
        <x:v>99</x:v>
      </x:c>
      <x:c r="C16" s="81" t="n">
        <x:f>Sources!D36</x:f>
        <x:v>18712</x:v>
      </x:c>
      <x:c r="D16" s="28" t="n">
        <x:f>C16/SUM($C$16:$C$22)</x:f>
        <x:v>0.25277605165752576</x:v>
      </x:c>
    </x:row>
    <x:row r="17" ht="22" customHeight="1">
      <x:c r="A17" s="19" t="str">
        <x:f>Sources!B37</x:f>
        <x:v>Outillage</x:v>
      </x:c>
      <x:c r="B17" s="82" t="n">
        <x:f>Sources!C37</x:f>
        <x:v>111</x:v>
      </x:c>
      <x:c r="C17" s="82" t="n">
        <x:f>Sources!D37</x:f>
        <x:v>15130</x:v>
      </x:c>
      <x:c r="D17" s="29" t="n">
        <x:f>C17/SUM($C$16:$C$22)</x:f>
        <x:v>0.20438764758328154</x:v>
      </x:c>
    </x:row>
    <x:row r="18" ht="22" customHeight="1">
      <x:c r="A18" s="19" t="str">
        <x:f>Sources!B38</x:f>
        <x:v>Capteurs</x:v>
      </x:c>
      <x:c r="B18" s="82" t="n">
        <x:f>Sources!C38</x:f>
        <x:v>83</x:v>
      </x:c>
      <x:c r="C18" s="82" t="n">
        <x:f>Sources!D38</x:f>
        <x:v>13899</x:v>
      </x:c>
      <x:c r="D18" s="29" t="n">
        <x:f>C18/SUM($C$16:$C$22)</x:f>
        <x:v>0.18775835517250697</x:v>
      </x:c>
    </x:row>
    <x:row r="19" ht="22" customHeight="1">
      <x:c r="A19" s="19" t="str">
        <x:f>Sources!B39</x:f>
        <x:v>Réglage</x:v>
      </x:c>
      <x:c r="B19" s="82" t="n">
        <x:f>Sources!C39</x:f>
        <x:v>72</x:v>
      </x:c>
      <x:c r="C19" s="82" t="n">
        <x:f>Sources!D39</x:f>
        <x:v>8255</x:v>
      </x:c>
      <x:c r="D19" s="29" t="n">
        <x:f>C19/SUM($C$16:$C$22)</x:f>
        <x:v>0.11151487315267608</x:v>
      </x:c>
    </x:row>
    <x:row r="20" ht="22" customHeight="1">
      <x:c r="A20" s="19" t="str">
        <x:f>Sources!B40</x:f>
        <x:v>Attente qualité</x:v>
      </x:c>
      <x:c r="B20" s="82" t="n">
        <x:f>Sources!C40</x:f>
        <x:v>48</x:v>
      </x:c>
      <x:c r="C20" s="82" t="n">
        <x:f>Sources!D40</x:f>
        <x:v>7316</x:v>
      </x:c>
      <x:c r="D20" s="29" t="n">
        <x:f>C20/SUM($C$16:$C$22)</x:f>
        <x:v>0.09883014076135412</x:v>
      </x:c>
    </x:row>
    <x:row r="21" ht="22" customHeight="1">
      <x:c r="A21" s="19" t="str">
        <x:f>Sources!B41</x:f>
        <x:v>Micro-arrêts</x:v>
      </x:c>
      <x:c r="B21" s="82" t="n">
        <x:f>Sources!C41</x:f>
        <x:v>130</x:v>
      </x:c>
      <x:c r="C21" s="82" t="n">
        <x:f>Sources!D41</x:f>
        <x:v>5782</x:v>
      </x:c>
      <x:c r="D21" s="29" t="n">
        <x:f>C21/SUM($C$16:$C$22)</x:f>
        <x:v>0.07810769189203794</x:v>
      </x:c>
    </x:row>
    <x:row r="22" ht="22" customHeight="1">
      <x:c r="A22" s="19" t="str">
        <x:f>Sources!B42</x:f>
        <x:v>Manque matière</x:v>
      </x:c>
      <x:c r="B22" s="82" t="n">
        <x:f>Sources!C42</x:f>
        <x:v>46</x:v>
      </x:c>
      <x:c r="C22" s="82" t="n">
        <x:f>Sources!D42</x:f>
        <x:v>4932</x:v>
      </x:c>
      <x:c r="D22" s="29" t="n">
        <x:f>C22/SUM($C$16:$C$22)</x:f>
        <x:v>0.06662523978061761</x:v>
      </x:c>
    </x:row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40" customHeight="1">
      <x:c r="A30" s="43" t="str">
        <x:v>Constat principal</x:v>
      </x:c>
      <x:c r="B30" s="44" t="str">
        <x:v>Les changements planifiés représentent 87,94 % du temps d'arrêt total. C'est le premier levier de temps, mais il relève du SMED, pas de la maintenance corrective.</x:v>
      </x:c>
      <x:c r="C30" s="44"/>
      <x:c r="D30" s="44"/>
      <x:c r="E30" s="44"/>
      <x:c r="F30" s="44"/>
      <x:c r="G30" s="44"/>
      <x:c r="H30" s="44"/>
      <x:c r="I30" s="44"/>
      <x:c r="J30" s="44"/>
      <x:c r="K30" s="44"/>
      <x:c r="L30" s="45"/>
    </x:row>
    <x:row r="31" ht="40" customHeight="1">
      <x:c r="A31" s="46" t="str">
        <x:v>Priorités techniques</x:v>
      </x:c>
      <x:c r="B31" s="42" t="str">
        <x:v>Pannes équipement, outillage et capteurs cumulent 64,49 % du temps non planifié. Ce sont les trois familles à investiguer en premier.</x:v>
      </x:c>
      <x:c r="C31" s="42"/>
      <x:c r="D31" s="42"/>
      <x:c r="E31" s="42"/>
      <x:c r="F31" s="42"/>
      <x:c r="G31" s="42"/>
      <x:c r="H31" s="42"/>
      <x:c r="I31" s="42"/>
      <x:c r="J31" s="42"/>
      <x:c r="K31" s="42"/>
      <x:c r="L31" s="47"/>
    </x:row>
    <x:row r="32" ht="40" customHeight="1">
      <x:c r="A32" s="46" t="str">
        <x:v>Postes</x:v>
      </x:c>
      <x:c r="B32" s="42" t="str">
        <x:v>ST50 et ST30 cumulent 59,70 % du temps non planifié. ST50 reste le premier poste à traiter, ce qui confirme le diagnostic du Jour 8.</x:v>
      </x:c>
      <x:c r="C32" s="42"/>
      <x:c r="D32" s="42"/>
      <x:c r="E32" s="42"/>
      <x:c r="F32" s="42"/>
      <x:c r="G32" s="42"/>
      <x:c r="H32" s="42"/>
      <x:c r="I32" s="42"/>
      <x:c r="J32" s="42"/>
      <x:c r="K32" s="42"/>
      <x:c r="L32" s="47"/>
    </x:row>
    <x:row r="33" ht="40" customHeight="1">
      <x:c r="A33" s="46" t="str">
        <x:v>Équipes</x:v>
      </x:c>
      <x:c r="B33" s="42" t="str">
        <x:v>S1 et S2 sont proches : 52,58 % contre 47,42 %. Accuser une équipe serait prématuré et non démontré par les données.</x:v>
      </x:c>
      <x:c r="C33" s="42"/>
      <x:c r="D33" s="42"/>
      <x:c r="E33" s="42"/>
      <x:c r="F33" s="42"/>
      <x:c r="G33" s="42"/>
      <x:c r="H33" s="42"/>
      <x:c r="I33" s="42"/>
      <x:c r="J33" s="42"/>
      <x:c r="K33" s="42"/>
      <x:c r="L33" s="47"/>
    </x:row>
    <x:row r="34" ht="40" customHeight="1">
      <x:c r="A34" s="48" t="str">
        <x:v>Limite</x:v>
      </x:c>
      <x:c r="B34" s="49" t="str">
        <x:v>Le Pareto sert à prioriser. Il ne prouve pas la cause racine. Les mécanismes seront étudiés avec Ishikawa et 5 Why au Jour 13.</x:v>
      </x:c>
      <x:c r="C34" s="49"/>
      <x:c r="D34" s="49"/>
      <x:c r="E34" s="49"/>
      <x:c r="F34" s="49"/>
      <x:c r="G34" s="49"/>
      <x:c r="H34" s="49"/>
      <x:c r="I34" s="49"/>
      <x:c r="J34" s="49"/>
      <x:c r="K34" s="49"/>
      <x:c r="L34" s="50"/>
    </x:row>
    <x:row r="35" ht="22" customHeight="1"/>
  </x:sheetData>
  <x:mergeCells>
    <x:mergeCell ref="B30:L30"/>
    <x:mergeCell ref="B31:L31"/>
    <x:mergeCell ref="B32:L32"/>
    <x:mergeCell ref="B33:L33"/>
    <x:mergeCell ref="B34:L34"/>
  </x:mergeCells>
  <x:pageMargins left="0.7" right="0.7" top="0.75" bottom="0.75" header="0.3" footer="0.3"/>
  <x:drawing xmlns:r="http://schemas.openxmlformats.org/officeDocument/2006/relationships" r:id="R2b1d62f83a0c486e"/>
</x:worksheet>
</file>

<file path=xl/worksheets/sheet2.xml><?xml version="1.0" encoding="utf-8"?>
<x:worksheet xmlns:x="http://schemas.openxmlformats.org/spreadsheetml/2006/main">
  <x:sheetPr>
    <x:tabColor rgb="FF0B63C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12" hidden="0" customWidth="1"/>
    <x:col min="3" max="3" width="24" hidden="0" customWidth="1"/>
    <x:col min="4" max="4" width="52" hidden="0" customWidth="1"/>
    <x:col min="5" max="5" width="18" hidden="0" customWidth="1"/>
    <x:col min="6" max="6" width="18" hidden="0" customWidth="1"/>
    <x:col min="7" max="7" width="18" hidden="0" customWidth="1"/>
    <x:col min="8" max="8" width="12" hidden="0" customWidth="1"/>
    <x:col min="9" max="9" width="12" hidden="0" customWidth="1"/>
    <x:col min="10" max="10" width="3" hidden="0" customWidth="1"/>
    <x:col min="11" max="11" width="21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</x:cols>
  <x:sheetData>
    <x:row r="1" ht="22" customHeight="1"/>
    <x:row r="2" ht="22" customHeight="1">
      <x:c r="A2" s="1" t="str">
        <x:v>EMA-120 - Pareto des causes d'arrêt</x:v>
      </x:c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3" t="str">
        <x:v>Le Pareto principal de priorité corrective exclut les changements planifiés. Le tableau inférieur conserve la vision totale pour réconciliation.</x:v>
      </x:c>
    </x:row>
    <x:row r="5" ht="22" customHeight="1"/>
    <x:row r="6" ht="44" customHeight="1">
      <x:c r="A6" s="9" t="str">
        <x:v>Rang</x:v>
      </x:c>
      <x:c r="B6" s="9" t="str">
        <x:v>Code</x:v>
      </x:c>
      <x:c r="C6" s="9" t="str">
        <x:v>Catégorie</x:v>
      </x:c>
      <x:c r="D6" s="9" t="str">
        <x:v>Cause</x:v>
      </x:c>
      <x:c r="E6" s="9" t="str">
        <x:v>Fréquence</x:v>
      </x:c>
      <x:c r="F6" s="9" t="str">
        <x:v>Durée (s)</x:v>
      </x:c>
      <x:c r="G6" s="9" t="str">
        <x:v>Durée moyenne (s)</x:v>
      </x:c>
      <x:c r="H6" s="9" t="str">
        <x:v>Part</x:v>
      </x:c>
      <x:c r="I6" s="9" t="str">
        <x:v>Cumul</x:v>
      </x:c>
    </x:row>
    <x:row r="7" ht="22" customHeight="1">
      <x:c r="A7" s="26" t="n">
        <x:f>ROW()-6</x:f>
        <x:v>1</x:v>
      </x:c>
      <x:c r="B7" s="18" t="str">
        <x:f>Sources!J18</x:f>
        <x:v>DT-C02</x:v>
      </x:c>
      <x:c r="C7" s="18" t="str">
        <x:f>Sources!K18</x:f>
        <x:v>EQUIPMENT_FAILURE</x:v>
      </x:c>
      <x:c r="D7" s="18" t="str">
        <x:f>Sources!L18</x:f>
        <x:v>Cycle équipement interrompu avant remise en service</x:v>
      </x:c>
      <x:c r="E7" s="20" t="n">
        <x:f>Sources!N18</x:f>
        <x:v>53</x:v>
      </x:c>
      <x:c r="F7" s="20" t="n">
        <x:f>Sources!O18</x:f>
        <x:v>10322</x:v>
      </x:c>
      <x:c r="G7" s="20" t="n">
        <x:f>Sources!P18</x:f>
        <x:v>194.75471698113208</x:v>
      </x:c>
      <x:c r="H7" s="30" t="n">
        <x:f>F7/SUM($F$7:$F$20)</x:f>
        <x:v>0.1394374949342123</x:v>
      </x:c>
      <x:c r="I7" s="30" t="n">
        <x:f>SUM($H$7:H7)</x:f>
        <x:v>0.1394374949342123</x:v>
      </x:c>
    </x:row>
    <x:row r="8" ht="22" customHeight="1">
      <x:c r="A8" s="27" t="n">
        <x:f>ROW()-6</x:f>
        <x:v>2</x:v>
      </x:c>
      <x:c r="B8" s="19" t="str">
        <x:f>Sources!J19</x:f>
        <x:v>DT-C10</x:v>
      </x:c>
      <x:c r="C8" s="19" t="str">
        <x:f>Sources!K19</x:f>
        <x:v>TOOLING_ISSUE</x:v>
      </x:c>
      <x:c r="D8" s="19" t="str">
        <x:f>Sources!L19</x:f>
        <x:v>Interruption liée à l'état de l'outillage</x:v>
      </x:c>
      <x:c r="E8" s="21" t="n">
        <x:f>Sources!N19</x:f>
        <x:v>64</x:v>
      </x:c>
      <x:c r="F8" s="21" t="n">
        <x:f>Sources!O19</x:f>
        <x:v>8680</x:v>
      </x:c>
      <x:c r="G8" s="21" t="n">
        <x:f>Sources!P19</x:f>
        <x:v>135.625</x:v>
      </x:c>
      <x:c r="H8" s="31" t="n">
        <x:f>F8/SUM($F$7:$F$20)</x:f>
        <x:v>0.11725609920838624</x:v>
      </x:c>
      <x:c r="I8" s="31" t="n">
        <x:f>SUM($H$7:H8)</x:f>
        <x:v>0.25669359414259857</x:v>
      </x:c>
    </x:row>
    <x:row r="9" ht="22" customHeight="1">
      <x:c r="A9" s="27" t="n">
        <x:f>ROW()-6</x:f>
        <x:v>3</x:v>
      </x:c>
      <x:c r="B9" s="19" t="str">
        <x:f>Sources!J20</x:f>
        <x:v>DT-C01</x:v>
      </x:c>
      <x:c r="C9" s="19" t="str">
        <x:f>Sources!K20</x:f>
        <x:v>EQUIPMENT_FAILURE</x:v>
      </x:c>
      <x:c r="D9" s="19" t="str">
        <x:f>Sources!L20</x:f>
        <x:v>Arrêt équipement après signal de fonctionnement anormal</x:v>
      </x:c>
      <x:c r="E9" s="21" t="n">
        <x:f>Sources!N20</x:f>
        <x:v>46</x:v>
      </x:c>
      <x:c r="F9" s="21" t="n">
        <x:f>Sources!O20</x:f>
        <x:v>8390</x:v>
      </x:c>
      <x:c r="G9" s="21" t="n">
        <x:f>Sources!P20</x:f>
        <x:v>182.3913043478261</x:v>
      </x:c>
      <x:c r="H9" s="31" t="n">
        <x:f>F9/SUM($F$7:$F$20)</x:f>
        <x:v>0.11333855672331343</x:v>
      </x:c>
      <x:c r="I9" s="31" t="n">
        <x:f>SUM($H$7:H9)</x:f>
        <x:v>0.370032150865912</x:v>
      </x:c>
    </x:row>
    <x:row r="10" ht="22" customHeight="1">
      <x:c r="A10" s="27" t="n">
        <x:f>ROW()-6</x:f>
        <x:v>4</x:v>
      </x:c>
      <x:c r="B10" s="19" t="str">
        <x:f>Sources!J21</x:f>
        <x:v>DT-C08</x:v>
      </x:c>
      <x:c r="C10" s="19" t="str">
        <x:f>Sources!K21</x:f>
        <x:v>SENSOR_FAULT</x:v>
      </x:c>
      <x:c r="D10" s="19" t="str">
        <x:f>Sources!L21</x:f>
        <x:v>Instabilité d'un signal de mesure</x:v>
      </x:c>
      <x:c r="E10" s="21" t="n">
        <x:f>Sources!N21</x:f>
        <x:v>45</x:v>
      </x:c>
      <x:c r="F10" s="21" t="n">
        <x:f>Sources!O21</x:f>
        <x:v>7583</x:v>
      </x:c>
      <x:c r="G10" s="21" t="n">
        <x:f>Sources!P21</x:f>
        <x:v>168.51111111111112</x:v>
      </x:c>
      <x:c r="H10" s="31" t="n">
        <x:f>F10/SUM($F$7:$F$20)</x:f>
        <x:v>0.10243698160105909</x:v>
      </x:c>
      <x:c r="I10" s="31" t="n">
        <x:f>SUM($H$7:H10)</x:f>
        <x:v>0.4724691324669711</x:v>
      </x:c>
    </x:row>
    <x:row r="11" ht="22" customHeight="1">
      <x:c r="A11" s="27" t="n">
        <x:f>ROW()-6</x:f>
        <x:v>5</x:v>
      </x:c>
      <x:c r="B11" s="19" t="str">
        <x:f>Sources!J22</x:f>
        <x:v>DT-C09</x:v>
      </x:c>
      <x:c r="C11" s="19" t="str">
        <x:f>Sources!K22</x:f>
        <x:v>TOOLING_ISSUE</x:v>
      </x:c>
      <x:c r="D11" s="19" t="str">
        <x:f>Sources!L22</x:f>
        <x:v>Vérification de l'alignement de l'outillage</x:v>
      </x:c>
      <x:c r="E11" s="21" t="n">
        <x:f>Sources!N22</x:f>
        <x:v>47</x:v>
      </x:c>
      <x:c r="F11" s="21" t="n">
        <x:f>Sources!O22</x:f>
        <x:v>6450</x:v>
      </x:c>
      <x:c r="G11" s="21" t="n">
        <x:f>Sources!P22</x:f>
        <x:v>137.2340425531915</x:v>
      </x:c>
      <x:c r="H11" s="31" t="n">
        <x:f>F11/SUM($F$7:$F$20)</x:f>
        <x:v>0.08713154837489531</x:v>
      </x:c>
      <x:c r="I11" s="31" t="n">
        <x:f>SUM($H$7:H11)</x:f>
        <x:v>0.5596006808418664</x:v>
      </x:c>
    </x:row>
    <x:row r="12" ht="22" customHeight="1">
      <x:c r="A12" s="27" t="n">
        <x:f>ROW()-6</x:f>
        <x:v>6</x:v>
      </x:c>
      <x:c r="B12" s="19" t="str">
        <x:f>Sources!J23</x:f>
        <x:v>DT-C07</x:v>
      </x:c>
      <x:c r="C12" s="19" t="str">
        <x:f>Sources!K23</x:f>
        <x:v>SENSOR_FAULT</x:v>
      </x:c>
      <x:c r="D12" s="19" t="str">
        <x:f>Sources!L23</x:f>
        <x:v>Défaut temporaire du signal capteur</x:v>
      </x:c>
      <x:c r="E12" s="21" t="n">
        <x:f>Sources!N23</x:f>
        <x:v>38</x:v>
      </x:c>
      <x:c r="F12" s="21" t="n">
        <x:f>Sources!O23</x:f>
        <x:v>6316</x:v>
      </x:c>
      <x:c r="G12" s="21" t="n">
        <x:f>Sources!P23</x:f>
        <x:v>166.21052631578948</x:v>
      </x:c>
      <x:c r="H12" s="31" t="n">
        <x:f>F12/SUM($F$7:$F$20)</x:f>
        <x:v>0.08532137357144787</x:v>
      </x:c>
      <x:c r="I12" s="31" t="n">
        <x:f>SUM($H$7:H12)</x:f>
        <x:v>0.6449220544133143</x:v>
      </x:c>
    </x:row>
    <x:row r="13" ht="22" customHeight="1">
      <x:c r="A13" s="27" t="n">
        <x:f>ROW()-6</x:f>
        <x:v>7</x:v>
      </x:c>
      <x:c r="B13" s="19" t="str">
        <x:f>Sources!J24</x:f>
        <x:v>DT-C11</x:v>
      </x:c>
      <x:c r="C13" s="19" t="str">
        <x:f>Sources!K24</x:f>
        <x:v>QUALITY_HOLD</x:v>
      </x:c>
      <x:c r="D13" s="19" t="str">
        <x:f>Sources!L24</x:f>
        <x:v>Production suspendue pour vérification qualité</x:v>
      </x:c>
      <x:c r="E13" s="21" t="n">
        <x:f>Sources!N24</x:f>
        <x:v>24</x:v>
      </x:c>
      <x:c r="F13" s="21" t="n">
        <x:f>Sources!O24</x:f>
        <x:v>4562</x:v>
      </x:c>
      <x:c r="G13" s="21" t="n">
        <x:f>Sources!P24</x:f>
        <x:v>190.08333333333334</x:v>
      </x:c>
      <x:c r="H13" s="31" t="n">
        <x:f>F13/SUM($F$7:$F$20)</x:f>
        <x:v>0.06162699592035231</x:v>
      </x:c>
      <x:c r="I13" s="31" t="n">
        <x:f>SUM($H$7:H13)</x:f>
        <x:v>0.7065490503336667</x:v>
      </x:c>
    </x:row>
    <x:row r="14" ht="22" customHeight="1">
      <x:c r="A14" s="27" t="n">
        <x:f>ROW()-6</x:f>
        <x:v>8</x:v>
      </x:c>
      <x:c r="B14" s="19" t="str">
        <x:f>Sources!J25</x:f>
        <x:v>DT-C05</x:v>
      </x:c>
      <x:c r="C14" s="19" t="str">
        <x:f>Sources!K25</x:f>
        <x:v>ADJUSTMENT</x:v>
      </x:c>
      <x:c r="D14" s="19" t="str">
        <x:f>Sources!L25</x:f>
        <x:v>Correction d'un réglage de procédé</x:v>
      </x:c>
      <x:c r="E14" s="21" t="n">
        <x:f>Sources!N25</x:f>
        <x:v>36</x:v>
      </x:c>
      <x:c r="F14" s="21" t="n">
        <x:f>Sources!O25</x:f>
        <x:v>4307</x:v>
      </x:c>
      <x:c r="G14" s="21" t="n">
        <x:f>Sources!P25</x:f>
        <x:v>119.63888888888889</x:v>
      </x:c>
      <x:c r="H14" s="31" t="n">
        <x:f>F14/SUM($F$7:$F$20)</x:f>
        <x:v>0.05818226028692622</x:v>
      </x:c>
      <x:c r="I14" s="31" t="n">
        <x:f>SUM($H$7:H14)</x:f>
        <x:v>0.7647313106205929</x:v>
      </x:c>
    </x:row>
    <x:row r="15" ht="22" customHeight="1">
      <x:c r="A15" s="27" t="n">
        <x:f>ROW()-6</x:f>
        <x:v>9</x:v>
      </x:c>
      <x:c r="B15" s="19" t="str">
        <x:f>Sources!J26</x:f>
        <x:v>DT-C06</x:v>
      </x:c>
      <x:c r="C15" s="19" t="str">
        <x:f>Sources!K26</x:f>
        <x:v>ADJUSTMENT</x:v>
      </x:c>
      <x:c r="D15" s="19" t="str">
        <x:f>Sources!L26</x:f>
        <x:v>Ajustement d'un paramètre de programme</x:v>
      </x:c>
      <x:c r="E15" s="21" t="n">
        <x:f>Sources!N26</x:f>
        <x:v>36</x:v>
      </x:c>
      <x:c r="F15" s="21" t="n">
        <x:f>Sources!O26</x:f>
        <x:v>3948</x:v>
      </x:c>
      <x:c r="G15" s="21" t="n">
        <x:f>Sources!P26</x:f>
        <x:v>109.66666666666667</x:v>
      </x:c>
      <x:c r="H15" s="31" t="n">
        <x:f>F15/SUM($F$7:$F$20)</x:f>
        <x:v>0.05333261286574987</x:v>
      </x:c>
      <x:c r="I15" s="31" t="n">
        <x:f>SUM($H$7:H15)</x:f>
        <x:v>0.8180639234863427</x:v>
      </x:c>
    </x:row>
    <x:row r="16" ht="22" customHeight="1">
      <x:c r="A16" s="27" t="n">
        <x:f>ROW()-6</x:f>
        <x:v>10</x:v>
      </x:c>
      <x:c r="B16" s="19" t="str">
        <x:f>Sources!J27</x:f>
        <x:v>DT-C13</x:v>
      </x:c>
      <x:c r="C16" s="19" t="str">
        <x:f>Sources!K27</x:f>
        <x:v>MICRO_STOP</x:v>
      </x:c>
      <x:c r="D16" s="19" t="str">
        <x:f>Sources!L27</x:f>
        <x:v>Réinitialisation brève du poste</x:v>
      </x:c>
      <x:c r="E16" s="21" t="n">
        <x:f>Sources!N27</x:f>
        <x:v>66</x:v>
      </x:c>
      <x:c r="F16" s="21" t="n">
        <x:f>Sources!O27</x:f>
        <x:v>2982</x:v>
      </x:c>
      <x:c r="G16" s="21" t="n">
        <x:f>Sources!P27</x:f>
        <x:v>45.18181818181818</x:v>
      </x:c>
      <x:c r="H16" s="29" t="n">
        <x:f>F16/SUM($F$7:$F$20)</x:f>
        <x:v>0.040283143760300434</x:v>
      </x:c>
      <x:c r="I16" s="29" t="n">
        <x:f>SUM($H$7:H16)</x:f>
        <x:v>0.8583470672466431</x:v>
      </x:c>
    </x:row>
    <x:row r="17" ht="22" customHeight="1">
      <x:c r="A17" s="27" t="n">
        <x:f>ROW()-6</x:f>
        <x:v>11</x:v>
      </x:c>
      <x:c r="B17" s="19" t="str">
        <x:f>Sources!J28</x:f>
        <x:v>DT-C14</x:v>
      </x:c>
      <x:c r="C17" s="19" t="str">
        <x:f>Sources!K28</x:f>
        <x:v>MICRO_STOP</x:v>
      </x:c>
      <x:c r="D17" s="19" t="str">
        <x:f>Sources!L28</x:f>
        <x:v>Interruption courte de manipulation</x:v>
      </x:c>
      <x:c r="E17" s="21" t="n">
        <x:f>Sources!N28</x:f>
        <x:v>64</x:v>
      </x:c>
      <x:c r="F17" s="21" t="n">
        <x:f>Sources!O28</x:f>
        <x:v>2800</x:v>
      </x:c>
      <x:c r="G17" s="21" t="n">
        <x:f>Sources!P28</x:f>
        <x:v>43.75</x:v>
      </x:c>
      <x:c r="H17" s="29" t="n">
        <x:f>F17/SUM($F$7:$F$20)</x:f>
        <x:v>0.037824548131737495</x:v>
      </x:c>
      <x:c r="I17" s="29" t="n">
        <x:f>SUM($H$7:H17)</x:f>
        <x:v>0.8961716153783806</x:v>
      </x:c>
    </x:row>
    <x:row r="18" ht="22" customHeight="1">
      <x:c r="A18" s="27" t="n">
        <x:f>ROW()-6</x:f>
        <x:v>12</x:v>
      </x:c>
      <x:c r="B18" s="19" t="str">
        <x:f>Sources!J29</x:f>
        <x:v>DT-C12</x:v>
      </x:c>
      <x:c r="C18" s="19" t="str">
        <x:f>Sources!K29</x:f>
        <x:v>QUALITY_HOLD</x:v>
      </x:c>
      <x:c r="D18" s="19" t="str">
        <x:f>Sources!L29</x:f>
        <x:v>Attente d'une décision de premier niveau</x:v>
      </x:c>
      <x:c r="E18" s="21" t="n">
        <x:f>Sources!N29</x:f>
        <x:v>24</x:v>
      </x:c>
      <x:c r="F18" s="21" t="n">
        <x:f>Sources!O29</x:f>
        <x:v>2754</x:v>
      </x:c>
      <x:c r="G18" s="21" t="n">
        <x:f>Sources!P29</x:f>
        <x:v>114.75</x:v>
      </x:c>
      <x:c r="H18" s="29" t="n">
        <x:f>F18/SUM($F$7:$F$20)</x:f>
        <x:v>0.03720314484100181</x:v>
      </x:c>
      <x:c r="I18" s="29" t="n">
        <x:f>SUM($H$7:H18)</x:f>
        <x:v>0.9333747602193825</x:v>
      </x:c>
    </x:row>
    <x:row r="19" ht="22" customHeight="1">
      <x:c r="A19" s="27" t="n">
        <x:f>ROW()-6</x:f>
        <x:v>13</x:v>
      </x:c>
      <x:c r="B19" s="19" t="str">
        <x:f>Sources!J30</x:f>
        <x:v>DT-C03</x:v>
      </x:c>
      <x:c r="C19" s="19" t="str">
        <x:f>Sources!K30</x:f>
        <x:v>MATERIAL_SHORTAGE</x:v>
      </x:c>
      <x:c r="D19" s="19" t="str">
        <x:f>Sources!L30</x:f>
        <x:v>Attente de réapprovisionnement du kit</x:v>
      </x:c>
      <x:c r="E19" s="21" t="n">
        <x:f>Sources!N30</x:f>
        <x:v>26</x:v>
      </x:c>
      <x:c r="F19" s="21" t="n">
        <x:f>Sources!O30</x:f>
        <x:v>2587</x:v>
      </x:c>
      <x:c r="G19" s="21" t="n">
        <x:f>Sources!P30</x:f>
        <x:v>99.5</x:v>
      </x:c>
      <x:c r="H19" s="29" t="n">
        <x:f>F19/SUM($F$7:$F$20)</x:f>
        <x:v>0.03494718072028747</x:v>
      </x:c>
      <x:c r="I19" s="29" t="n">
        <x:f>SUM($H$7:H19)</x:f>
        <x:v>0.96832194093967</x:v>
      </x:c>
    </x:row>
    <x:row r="20" ht="22" customHeight="1">
      <x:c r="A20" s="27" t="n">
        <x:f>ROW()-6</x:f>
        <x:v>14</x:v>
      </x:c>
      <x:c r="B20" s="19" t="str">
        <x:f>Sources!J31</x:f>
        <x:v>DT-C04</x:v>
      </x:c>
      <x:c r="C20" s="19" t="str">
        <x:f>Sources!K31</x:f>
        <x:v>MATERIAL_SHORTAGE</x:v>
      </x:c>
      <x:c r="D20" s="19" t="str">
        <x:f>Sources!L31</x:f>
        <x:v>Composant temporairement indisponible au poste</x:v>
      </x:c>
      <x:c r="E20" s="21" t="n">
        <x:f>Sources!N31</x:f>
        <x:v>20</x:v>
      </x:c>
      <x:c r="F20" s="21" t="n">
        <x:f>Sources!O31</x:f>
        <x:v>2345</x:v>
      </x:c>
      <x:c r="G20" s="21" t="n">
        <x:f>Sources!P31</x:f>
        <x:v>117.25</x:v>
      </x:c>
      <x:c r="H20" s="29" t="n">
        <x:f>F20/SUM($F$7:$F$20)</x:f>
        <x:v>0.03167805906033015</x:v>
      </x:c>
      <x:c r="I20" s="29" t="n">
        <x:f>SUM($H$7:H20)</x:f>
        <x:v>1</x:v>
      </x:c>
    </x:row>
    <x:row r="21" ht="22" customHeight="1"/>
    <x:row r="22" ht="22" customHeight="1"/>
    <x:row r="23" ht="22" customHeight="1"/>
    <x:row r="24" ht="44" customHeight="1">
      <x:c r="A24" s="9" t="str">
        <x:v>Rang</x:v>
      </x:c>
      <x:c r="B24" s="9" t="str">
        <x:v>Code</x:v>
      </x:c>
      <x:c r="C24" s="9" t="str">
        <x:v>Catégorie</x:v>
      </x:c>
      <x:c r="D24" s="9" t="str">
        <x:v>Cause</x:v>
      </x:c>
      <x:c r="E24" s="9" t="str">
        <x:v>Fréquence</x:v>
      </x:c>
      <x:c r="F24" s="9" t="str">
        <x:v>Durée (s)</x:v>
      </x:c>
      <x:c r="G24" s="9" t="str">
        <x:v>Durée moyenne (s)</x:v>
      </x:c>
      <x:c r="H24" s="9" t="str">
        <x:v>Part</x:v>
      </x:c>
      <x:c r="I24" s="9" t="str">
        <x:v>Cumul</x:v>
      </x:c>
    </x:row>
    <x:row r="25" ht="22" customHeight="1">
      <x:c r="A25" s="33" t="n">
        <x:f>ROW()-24</x:f>
        <x:v>1</x:v>
      </x:c>
      <x:c r="B25" s="33" t="str">
        <x:f>Sources!A18</x:f>
        <x:v>DT-C15</x:v>
      </x:c>
      <x:c r="C25" s="33" t="str">
        <x:f>Sources!B18</x:f>
        <x:v>CHANGEOVER</x:v>
      </x:c>
      <x:c r="D25" s="33" t="str">
        <x:f>Sources!C18</x:f>
        <x:v>Changement planifié de variante</x:v>
      </x:c>
      <x:c r="E25" s="34" t="n">
        <x:f>Sources!E18</x:f>
        <x:v>360</x:v>
      </x:c>
      <x:c r="F25" s="34" t="n">
        <x:f>Sources!F18</x:f>
        <x:v>540000</x:v>
      </x:c>
      <x:c r="G25" s="34" t="n">
        <x:f>Sources!G18</x:f>
        <x:v>1500</x:v>
      </x:c>
      <x:c r="H25" s="35" t="n">
        <x:f>F25/SUM($F$25:$F$39)</x:f>
        <x:v>0.8794415871640615</x:v>
      </x:c>
      <x:c r="I25" s="35" t="n">
        <x:f>SUM($H$25:H25)</x:f>
        <x:v>0.8794415871640615</x:v>
      </x:c>
    </x:row>
    <x:row r="26" ht="22" customHeight="1">
      <x:c r="A26" s="19" t="n">
        <x:f>ROW()-24</x:f>
        <x:v>2</x:v>
      </x:c>
      <x:c r="B26" s="19" t="str">
        <x:f>Sources!A19</x:f>
        <x:v>DT-C02</x:v>
      </x:c>
      <x:c r="C26" s="19" t="str">
        <x:f>Sources!B19</x:f>
        <x:v>EQUIPMENT_FAILURE</x:v>
      </x:c>
      <x:c r="D26" s="19" t="str">
        <x:f>Sources!C19</x:f>
        <x:v>Cycle équipement interrompu avant remise en service</x:v>
      </x:c>
      <x:c r="E26" s="21" t="n">
        <x:f>Sources!E19</x:f>
        <x:v>53</x:v>
      </x:c>
      <x:c r="F26" s="21" t="n">
        <x:f>Sources!F19</x:f>
        <x:v>10322</x:v>
      </x:c>
      <x:c r="G26" s="21" t="n">
        <x:f>Sources!G19</x:f>
        <x:v>194.75471698113208</x:v>
      </x:c>
      <x:c r="H26" s="29" t="n">
        <x:f>F26/SUM($F$25:$F$39)</x:f>
        <x:v>0.016810363079087856</x:v>
      </x:c>
      <x:c r="I26" s="29" t="n">
        <x:f>SUM($H$25:H26)</x:f>
        <x:v>0.8962519502431494</x:v>
      </x:c>
    </x:row>
    <x:row r="27" ht="22" customHeight="1">
      <x:c r="A27" s="19" t="n">
        <x:f>ROW()-24</x:f>
        <x:v>3</x:v>
      </x:c>
      <x:c r="B27" s="19" t="str">
        <x:f>Sources!A20</x:f>
        <x:v>DT-C10</x:v>
      </x:c>
      <x:c r="C27" s="19" t="str">
        <x:f>Sources!B20</x:f>
        <x:v>TOOLING_ISSUE</x:v>
      </x:c>
      <x:c r="D27" s="19" t="str">
        <x:f>Sources!C20</x:f>
        <x:v>Interruption liée à l'état de l'outillage</x:v>
      </x:c>
      <x:c r="E27" s="21" t="n">
        <x:f>Sources!E20</x:f>
        <x:v>64</x:v>
      </x:c>
      <x:c r="F27" s="21" t="n">
        <x:f>Sources!F20</x:f>
        <x:v>8680</x:v>
      </x:c>
      <x:c r="G27" s="21" t="n">
        <x:f>Sources!G20</x:f>
        <x:v>135.625</x:v>
      </x:c>
      <x:c r="H27" s="29" t="n">
        <x:f>F27/SUM($F$25:$F$39)</x:f>
        <x:v>0.014136209215896395</x:v>
      </x:c>
      <x:c r="I27" s="29" t="n">
        <x:f>SUM($H$25:H27)</x:f>
        <x:v>0.9103881594590458</x:v>
      </x:c>
    </x:row>
    <x:row r="28" ht="22" customHeight="1">
      <x:c r="A28" s="19" t="n">
        <x:f>ROW()-24</x:f>
        <x:v>4</x:v>
      </x:c>
      <x:c r="B28" s="19" t="str">
        <x:f>Sources!A21</x:f>
        <x:v>DT-C01</x:v>
      </x:c>
      <x:c r="C28" s="19" t="str">
        <x:f>Sources!B21</x:f>
        <x:v>EQUIPMENT_FAILURE</x:v>
      </x:c>
      <x:c r="D28" s="19" t="str">
        <x:f>Sources!C21</x:f>
        <x:v>Arrêt équipement après signal de fonctionnement anormal</x:v>
      </x:c>
      <x:c r="E28" s="21" t="n">
        <x:f>Sources!E21</x:f>
        <x:v>46</x:v>
      </x:c>
      <x:c r="F28" s="21" t="n">
        <x:f>Sources!F21</x:f>
        <x:v>8390</x:v>
      </x:c>
      <x:c r="G28" s="21" t="n">
        <x:f>Sources!G21</x:f>
        <x:v>182.3913043478261</x:v>
      </x:c>
      <x:c r="H28" s="29" t="n">
        <x:f>F28/SUM($F$25:$F$39)</x:f>
        <x:v>0.01366391651167866</x:v>
      </x:c>
      <x:c r="I28" s="29" t="n">
        <x:f>SUM($H$25:H28)</x:f>
        <x:v>0.9240520759707245</x:v>
      </x:c>
    </x:row>
    <x:row r="29" ht="22" customHeight="1">
      <x:c r="A29" s="19" t="n">
        <x:f>ROW()-24</x:f>
        <x:v>5</x:v>
      </x:c>
      <x:c r="B29" s="19" t="str">
        <x:f>Sources!A22</x:f>
        <x:v>DT-C08</x:v>
      </x:c>
      <x:c r="C29" s="19" t="str">
        <x:f>Sources!B22</x:f>
        <x:v>SENSOR_FAULT</x:v>
      </x:c>
      <x:c r="D29" s="19" t="str">
        <x:f>Sources!C22</x:f>
        <x:v>Instabilité d'un signal de mesure</x:v>
      </x:c>
      <x:c r="E29" s="21" t="n">
        <x:f>Sources!E22</x:f>
        <x:v>45</x:v>
      </x:c>
      <x:c r="F29" s="21" t="n">
        <x:f>Sources!F22</x:f>
        <x:v>7583</x:v>
      </x:c>
      <x:c r="G29" s="21" t="n">
        <x:f>Sources!G22</x:f>
        <x:v>168.51111111111112</x:v>
      </x:c>
      <x:c r="H29" s="29" t="n">
        <x:f>F29/SUM($F$25:$F$39)</x:f>
        <x:v>0.012349639917527922</x:v>
      </x:c>
      <x:c r="I29" s="29" t="n">
        <x:f>SUM($H$25:H29)</x:f>
        <x:v>0.9364017158882524</x:v>
      </x:c>
    </x:row>
    <x:row r="30" ht="22" customHeight="1">
      <x:c r="A30" s="19" t="n">
        <x:f>ROW()-24</x:f>
        <x:v>6</x:v>
      </x:c>
      <x:c r="B30" s="19" t="str">
        <x:f>Sources!A23</x:f>
        <x:v>DT-C09</x:v>
      </x:c>
      <x:c r="C30" s="19" t="str">
        <x:f>Sources!B23</x:f>
        <x:v>TOOLING_ISSUE</x:v>
      </x:c>
      <x:c r="D30" s="19" t="str">
        <x:f>Sources!C23</x:f>
        <x:v>Vérification de l'alignement de l'outillage</x:v>
      </x:c>
      <x:c r="E30" s="21" t="n">
        <x:f>Sources!E23</x:f>
        <x:v>47</x:v>
      </x:c>
      <x:c r="F30" s="21" t="n">
        <x:f>Sources!F23</x:f>
        <x:v>6450</x:v>
      </x:c>
      <x:c r="G30" s="21" t="n">
        <x:f>Sources!G23</x:f>
        <x:v>137.2340425531915</x:v>
      </x:c>
      <x:c r="H30" s="29" t="n">
        <x:f>F30/SUM($F$25:$F$39)</x:f>
        <x:v>0.010504441180015178</x:v>
      </x:c>
      <x:c r="I30" s="29" t="n">
        <x:f>SUM($H$25:H30)</x:f>
        <x:v>0.9469061570682675</x:v>
      </x:c>
    </x:row>
    <x:row r="31" ht="22" customHeight="1">
      <x:c r="A31" s="19" t="n">
        <x:f>ROW()-24</x:f>
        <x:v>7</x:v>
      </x:c>
      <x:c r="B31" s="19" t="str">
        <x:f>Sources!A24</x:f>
        <x:v>DT-C07</x:v>
      </x:c>
      <x:c r="C31" s="19" t="str">
        <x:f>Sources!B24</x:f>
        <x:v>SENSOR_FAULT</x:v>
      </x:c>
      <x:c r="D31" s="19" t="str">
        <x:f>Sources!C24</x:f>
        <x:v>Défaut temporaire du signal capteur</x:v>
      </x:c>
      <x:c r="E31" s="21" t="n">
        <x:f>Sources!E24</x:f>
        <x:v>38</x:v>
      </x:c>
      <x:c r="F31" s="21" t="n">
        <x:f>Sources!F24</x:f>
        <x:v>6316</x:v>
      </x:c>
      <x:c r="G31" s="21" t="n">
        <x:f>Sources!G24</x:f>
        <x:v>166.21052631578948</x:v>
      </x:c>
      <x:c r="H31" s="29" t="n">
        <x:f>F31/SUM($F$25:$F$39)</x:f>
        <x:v>0.010286209378755948</x:v>
      </x:c>
      <x:c r="I31" s="29" t="n">
        <x:f>SUM($H$25:H31)</x:f>
        <x:v>0.9571923664470234</x:v>
      </x:c>
    </x:row>
    <x:row r="32" ht="22" customHeight="1">
      <x:c r="A32" s="19" t="n">
        <x:f>ROW()-24</x:f>
        <x:v>8</x:v>
      </x:c>
      <x:c r="B32" s="19" t="str">
        <x:f>Sources!A25</x:f>
        <x:v>DT-C11</x:v>
      </x:c>
      <x:c r="C32" s="19" t="str">
        <x:f>Sources!B25</x:f>
        <x:v>QUALITY_HOLD</x:v>
      </x:c>
      <x:c r="D32" s="19" t="str">
        <x:f>Sources!C25</x:f>
        <x:v>Production suspendue pour vérification qualité</x:v>
      </x:c>
      <x:c r="E32" s="21" t="n">
        <x:f>Sources!E25</x:f>
        <x:v>24</x:v>
      </x:c>
      <x:c r="F32" s="21" t="n">
        <x:f>Sources!F25</x:f>
        <x:v>4562</x:v>
      </x:c>
      <x:c r="G32" s="21" t="n">
        <x:f>Sources!G25</x:f>
        <x:v>190.08333333333334</x:v>
      </x:c>
      <x:c r="H32" s="29" t="n">
        <x:f>F32/SUM($F$25:$F$39)</x:f>
        <x:v>0.007429652816004534</x:v>
      </x:c>
      <x:c r="I32" s="29" t="n">
        <x:f>SUM($H$25:H32)</x:f>
        <x:v>0.9646220192630279</x:v>
      </x:c>
    </x:row>
    <x:row r="33" ht="22" customHeight="1">
      <x:c r="A33" s="19" t="n">
        <x:f>ROW()-24</x:f>
        <x:v>9</x:v>
      </x:c>
      <x:c r="B33" s="19" t="str">
        <x:f>Sources!A26</x:f>
        <x:v>DT-C05</x:v>
      </x:c>
      <x:c r="C33" s="19" t="str">
        <x:f>Sources!B26</x:f>
        <x:v>ADJUSTMENT</x:v>
      </x:c>
      <x:c r="D33" s="19" t="str">
        <x:f>Sources!C26</x:f>
        <x:v>Correction d'un réglage de procédé</x:v>
      </x:c>
      <x:c r="E33" s="21" t="n">
        <x:f>Sources!E26</x:f>
        <x:v>36</x:v>
      </x:c>
      <x:c r="F33" s="21" t="n">
        <x:f>Sources!F26</x:f>
        <x:v>4307</x:v>
      </x:c>
      <x:c r="G33" s="21" t="n">
        <x:f>Sources!G26</x:f>
        <x:v>119.63888888888889</x:v>
      </x:c>
      <x:c r="H33" s="29" t="n">
        <x:f>F33/SUM($F$25:$F$39)</x:f>
        <x:v>0.007014360955399283</x:v>
      </x:c>
      <x:c r="I33" s="29" t="n">
        <x:f>SUM($H$25:H33)</x:f>
        <x:v>0.9716363802184272</x:v>
      </x:c>
    </x:row>
    <x:row r="34" ht="22" customHeight="1">
      <x:c r="A34" s="19" t="n">
        <x:f>ROW()-24</x:f>
        <x:v>10</x:v>
      </x:c>
      <x:c r="B34" s="19" t="str">
        <x:f>Sources!A27</x:f>
        <x:v>DT-C06</x:v>
      </x:c>
      <x:c r="C34" s="19" t="str">
        <x:f>Sources!B27</x:f>
        <x:v>ADJUSTMENT</x:v>
      </x:c>
      <x:c r="D34" s="19" t="str">
        <x:f>Sources!C27</x:f>
        <x:v>Ajustement d'un paramètre de programme</x:v>
      </x:c>
      <x:c r="E34" s="21" t="n">
        <x:f>Sources!E27</x:f>
        <x:v>36</x:v>
      </x:c>
      <x:c r="F34" s="21" t="n">
        <x:f>Sources!F27</x:f>
        <x:v>3948</x:v>
      </x:c>
      <x:c r="G34" s="21" t="n">
        <x:f>Sources!G27</x:f>
        <x:v>109.66666666666667</x:v>
      </x:c>
      <x:c r="H34" s="29" t="n">
        <x:f>F34/SUM($F$25:$F$39)</x:f>
        <x:v>0.00642969515948836</x:v>
      </x:c>
      <x:c r="I34" s="29" t="n">
        <x:f>SUM($H$25:H34)</x:f>
        <x:v>0.9780660753779156</x:v>
      </x:c>
    </x:row>
    <x:row r="35" ht="22" customHeight="1">
      <x:c r="A35" s="19" t="n">
        <x:f>ROW()-24</x:f>
        <x:v>11</x:v>
      </x:c>
      <x:c r="B35" s="19" t="str">
        <x:f>Sources!A28</x:f>
        <x:v>DT-C13</x:v>
      </x:c>
      <x:c r="C35" s="19" t="str">
        <x:f>Sources!B28</x:f>
        <x:v>MICRO_STOP</x:v>
      </x:c>
      <x:c r="D35" s="19" t="str">
        <x:f>Sources!C28</x:f>
        <x:v>Réinitialisation brève du poste</x:v>
      </x:c>
      <x:c r="E35" s="21" t="n">
        <x:f>Sources!E28</x:f>
        <x:v>66</x:v>
      </x:c>
      <x:c r="F35" s="21" t="n">
        <x:f>Sources!F28</x:f>
        <x:v>2982</x:v>
      </x:c>
      <x:c r="G35" s="21" t="n">
        <x:f>Sources!G28</x:f>
        <x:v>45.18181818181818</x:v>
      </x:c>
      <x:c r="H35" s="29" t="n">
        <x:f>F35/SUM($F$25:$F$39)</x:f>
        <x:v>0.004856471875783762</x:v>
      </x:c>
      <x:c r="I35" s="29" t="n">
        <x:f>SUM($H$25:H35)</x:f>
        <x:v>0.9829225472536993</x:v>
      </x:c>
    </x:row>
    <x:row r="36" ht="22" customHeight="1">
      <x:c r="A36" s="19" t="n">
        <x:f>ROW()-24</x:f>
        <x:v>12</x:v>
      </x:c>
      <x:c r="B36" s="19" t="str">
        <x:f>Sources!A29</x:f>
        <x:v>DT-C14</x:v>
      </x:c>
      <x:c r="C36" s="19" t="str">
        <x:f>Sources!B29</x:f>
        <x:v>MICRO_STOP</x:v>
      </x:c>
      <x:c r="D36" s="19" t="str">
        <x:f>Sources!C29</x:f>
        <x:v>Interruption courte de manipulation</x:v>
      </x:c>
      <x:c r="E36" s="21" t="n">
        <x:f>Sources!E29</x:f>
        <x:v>64</x:v>
      </x:c>
      <x:c r="F36" s="21" t="n">
        <x:f>Sources!F29</x:f>
        <x:v>2800</x:v>
      </x:c>
      <x:c r="G36" s="21" t="n">
        <x:f>Sources!G29</x:f>
        <x:v>43.75</x:v>
      </x:c>
      <x:c r="H36" s="29" t="n">
        <x:f>F36/SUM($F$25:$F$39)</x:f>
        <x:v>0.004560067488998837</x:v>
      </x:c>
      <x:c r="I36" s="29" t="n">
        <x:f>SUM($H$25:H36)</x:f>
        <x:v>0.9874826147426982</x:v>
      </x:c>
    </x:row>
    <x:row r="37" ht="22" customHeight="1">
      <x:c r="A37" s="19" t="n">
        <x:f>ROW()-24</x:f>
        <x:v>13</x:v>
      </x:c>
      <x:c r="B37" s="19" t="str">
        <x:f>Sources!A30</x:f>
        <x:v>DT-C12</x:v>
      </x:c>
      <x:c r="C37" s="19" t="str">
        <x:f>Sources!B30</x:f>
        <x:v>QUALITY_HOLD</x:v>
      </x:c>
      <x:c r="D37" s="19" t="str">
        <x:f>Sources!C30</x:f>
        <x:v>Attente d'une décision de premier niveau</x:v>
      </x:c>
      <x:c r="E37" s="21" t="n">
        <x:f>Sources!E30</x:f>
        <x:v>24</x:v>
      </x:c>
      <x:c r="F37" s="21" t="n">
        <x:f>Sources!F30</x:f>
        <x:v>2754</x:v>
      </x:c>
      <x:c r="G37" s="21" t="n">
        <x:f>Sources!G30</x:f>
        <x:v>114.75</x:v>
      </x:c>
      <x:c r="H37" s="29" t="n">
        <x:f>F37/SUM($F$25:$F$39)</x:f>
        <x:v>0.004485152094536714</x:v>
      </x:c>
      <x:c r="I37" s="29" t="n">
        <x:f>SUM($H$25:H37)</x:f>
        <x:v>0.9919677668372349</x:v>
      </x:c>
    </x:row>
    <x:row r="38" ht="22" customHeight="1">
      <x:c r="A38" s="19" t="n">
        <x:f>ROW()-24</x:f>
        <x:v>14</x:v>
      </x:c>
      <x:c r="B38" s="19" t="str">
        <x:f>Sources!A31</x:f>
        <x:v>DT-C03</x:v>
      </x:c>
      <x:c r="C38" s="19" t="str">
        <x:f>Sources!B31</x:f>
        <x:v>MATERIAL_SHORTAGE</x:v>
      </x:c>
      <x:c r="D38" s="19" t="str">
        <x:f>Sources!C31</x:f>
        <x:v>Attente de réapprovisionnement du kit</x:v>
      </x:c>
      <x:c r="E38" s="21" t="n">
        <x:f>Sources!E31</x:f>
        <x:v>26</x:v>
      </x:c>
      <x:c r="F38" s="21" t="n">
        <x:f>Sources!F31</x:f>
        <x:v>2587</x:v>
      </x:c>
      <x:c r="G38" s="21" t="n">
        <x:f>Sources!G31</x:f>
        <x:v>99.5</x:v>
      </x:c>
      <x:c r="H38" s="29" t="n">
        <x:f>F38/SUM($F$25:$F$39)</x:f>
        <x:v>0.004213176640728568</x:v>
      </x:c>
      <x:c r="I38" s="29" t="n">
        <x:f>SUM($H$25:H38)</x:f>
        <x:v>0.9961809434779635</x:v>
      </x:c>
    </x:row>
    <x:row r="39" ht="38" customHeight="1">
      <x:c r="A39" s="19" t="n">
        <x:f>ROW()-24</x:f>
        <x:v>15</x:v>
      </x:c>
      <x:c r="B39" s="19" t="str">
        <x:f>Sources!A32</x:f>
        <x:v>DT-C04</x:v>
      </x:c>
      <x:c r="C39" s="19" t="str">
        <x:f>Sources!B32</x:f>
        <x:v>MATERIAL_SHORTAGE</x:v>
      </x:c>
      <x:c r="D39" s="19" t="str">
        <x:f>Sources!C32</x:f>
        <x:v>Composant temporairement indisponible au poste</x:v>
      </x:c>
      <x:c r="E39" s="21" t="n">
        <x:f>Sources!E32</x:f>
        <x:v>20</x:v>
      </x:c>
      <x:c r="F39" s="21" t="n">
        <x:f>Sources!F32</x:f>
        <x:v>2345</x:v>
      </x:c>
      <x:c r="G39" s="21" t="n">
        <x:f>Sources!G32</x:f>
        <x:v>117.25</x:v>
      </x:c>
      <x:c r="H39" s="29" t="n">
        <x:f>F39/SUM($F$25:$F$39)</x:f>
        <x:v>0.0038190565220365263</x:v>
      </x:c>
      <x:c r="I39" s="29" t="n">
        <x:f>SUM($H$25:H39)</x:f>
        <x:v>1</x:v>
      </x:c>
      <x:c r="K39" s="43" t="str">
        <x:v>Lecture</x:v>
      </x:c>
      <x:c r="L39" s="44" t="str">
        <x:v>Les changements de série représentent à eux seuls 87,94 % du temps d'arrêt total. Utiliser ce Pareto brut pour définir les priorités de maintenance serait trompeur.</x:v>
      </x:c>
      <x:c r="M39" s="44"/>
      <x:c r="N39" s="44"/>
      <x:c r="O39" s="44"/>
      <x:c r="P39" s="44"/>
      <x:c r="Q39" s="44"/>
      <x:c r="R39" s="44"/>
      <x:c r="S39" s="45"/>
    </x:row>
    <x:row r="40" ht="38" customHeight="1">
      <x:c r="K40" s="46" t="str">
        <x:v>Priorité corrective</x:v>
      </x:c>
      <x:c r="L40" s="42" t="str">
        <x:v>Il faut 9 causes pour atteindre 80 % des arrêts non planifiés. Les pertes techniques sont donc dispersées, sans cause unique dominante.</x:v>
      </x:c>
      <x:c r="M40" s="42"/>
      <x:c r="N40" s="42"/>
      <x:c r="O40" s="42"/>
      <x:c r="P40" s="42"/>
      <x:c r="Q40" s="42"/>
      <x:c r="R40" s="42"/>
      <x:c r="S40" s="47"/>
    </x:row>
    <x:row r="41" ht="38" customHeight="1">
      <x:c r="K41" s="46" t="str">
        <x:v>Cause n°1</x:v>
      </x:c>
      <x:c r="L41" s="42" t="str">
        <x:v>DT-C02 - Cycle équipement interrompu avant remise en service : 10 322 s, soit 13,94 % du non planifié.</x:v>
      </x:c>
      <x:c r="M41" s="42"/>
      <x:c r="N41" s="42"/>
      <x:c r="O41" s="42"/>
      <x:c r="P41" s="42"/>
      <x:c r="Q41" s="42"/>
      <x:c r="R41" s="42"/>
      <x:c r="S41" s="47"/>
    </x:row>
    <x:row r="42" ht="38" customHeight="1">
      <x:c r="K42" s="48" t="str">
        <x:v>Limite</x:v>
      </x:c>
      <x:c r="L42" s="49" t="str">
        <x:v>Le Pareto hiérarchise les investigations. Il ne prouve pas la cause racine ; cette analyse sera réalisée au Jour 13.</x:v>
      </x:c>
      <x:c r="M42" s="49"/>
      <x:c r="N42" s="49"/>
      <x:c r="O42" s="49"/>
      <x:c r="P42" s="49"/>
      <x:c r="Q42" s="49"/>
      <x:c r="R42" s="49"/>
      <x:c r="S42" s="50"/>
    </x:row>
    <x:row r="43" ht="22" customHeight="1"/>
  </x:sheetData>
  <x:mergeCells>
    <x:mergeCell ref="L39:S39"/>
    <x:mergeCell ref="L40:S40"/>
    <x:mergeCell ref="L41:S41"/>
    <x:mergeCell ref="L42:S42"/>
  </x:mergeCells>
  <x:pageMargins left="0.7" right="0.7" top="0.75" bottom="0.75" header="0.3" footer="0.3"/>
  <x:drawing xmlns:r="http://schemas.openxmlformats.org/officeDocument/2006/relationships" r:id="R2aa45b2d6daa4db5"/>
</x:worksheet>
</file>

<file path=xl/worksheets/sheet3.xml><?xml version="1.0" encoding="utf-8"?>
<x:worksheet xmlns:x="http://schemas.openxmlformats.org/spreadsheetml/2006/main">
  <x:sheetPr>
    <x:tabColor rgb="FFE67E22"/>
  </x:sheetPr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6" hidden="0" customWidth="1"/>
    <x:col min="8" max="8" width="16" hidden="0" customWidth="1"/>
    <x:col min="9" max="9" width="16" hidden="0" customWidth="1"/>
    <x:col min="10" max="10" width="3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22" customHeight="1"/>
    <x:row r="2" ht="22" customHeight="1">
      <x:c r="A2" s="1" t="str">
        <x:v>EMA-120 - Arrêts par poste et par équipe</x:v>
      </x:c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3" t="str">
        <x:v>La durée non planifiée permet de cibler les postes. La comparaison S1/S2 vérifie l'existence éventuelle d'un effet d'équipe.</x:v>
      </x:c>
    </x:row>
    <x:row r="5" ht="22" customHeight="1"/>
    <x:row r="6" ht="44" customHeight="1">
      <x:c r="A6" s="9" t="str">
        <x:v>Poste</x:v>
      </x:c>
      <x:c r="B6" s="9" t="str">
        <x:v>Fréquence totale</x:v>
      </x:c>
      <x:c r="C6" s="9" t="str">
        <x:v>Durée totale (s)</x:v>
      </x:c>
      <x:c r="D6" s="9" t="str">
        <x:v>Fréquence non planifiée</x:v>
      </x:c>
      <x:c r="E6" s="9" t="str">
        <x:v>Durée non planifiée (s)</x:v>
      </x:c>
      <x:c r="F6" s="9" t="str">
        <x:v>Moyenne non planifiée (s)</x:v>
      </x:c>
      <x:c r="G6" s="9" t="str">
        <x:v>Part non planifiée</x:v>
      </x:c>
      <x:c r="H6" s="9" t="str">
        <x:v>Rang</x:v>
      </x:c>
      <x:c r="I6" s="9" t="str">
        <x:v>Cumul</x:v>
      </x:c>
    </x:row>
    <x:row r="7" ht="22" customHeight="1">
      <x:c r="A7" s="18" t="str">
        <x:f>Sources!A47</x:f>
        <x:v>ST10</x:v>
      </x:c>
      <x:c r="B7" s="20" t="n">
        <x:f>Sources!B47</x:f>
        <x:v>123</x:v>
      </x:c>
      <x:c r="C7" s="20" t="n">
        <x:f>Sources!C47</x:f>
        <x:v>92106</x:v>
      </x:c>
      <x:c r="D7" s="20" t="n">
        <x:f>Sources!E47</x:f>
        <x:v>64</x:v>
      </x:c>
      <x:c r="E7" s="20" t="n">
        <x:f>Sources!F47</x:f>
        <x:v>3606</x:v>
      </x:c>
      <x:c r="F7" s="20" t="n">
        <x:f>Sources!G47</x:f>
        <x:v>56.34375</x:v>
      </x:c>
      <x:c r="G7" s="28" t="n">
        <x:f>E7/SUM($E$7:$E$13)</x:f>
        <x:v>0.04871261448680193</x:v>
      </x:c>
      <x:c r="H7" s="26" t="n">
        <x:f>Sources!H47</x:f>
        <x:v>6</x:v>
      </x:c>
      <x:c r="I7" s="28" t="n">
        <x:f>SUMIF($H$7:$H$13,"&lt;="&amp;H7,$G$7:$G$13)</x:f>
        <x:v>0.9772512360521978</x:v>
      </x:c>
    </x:row>
    <x:row r="8" ht="22" customHeight="1">
      <x:c r="A8" s="19" t="str">
        <x:f>Sources!A48</x:f>
        <x:v>ST20</x:v>
      </x:c>
      <x:c r="B8" s="21" t="n">
        <x:f>Sources!B48</x:f>
        <x:v>150</x:v>
      </x:c>
      <x:c r="C8" s="21" t="n">
        <x:f>Sources!C48</x:f>
        <x:v>98490</x:v>
      </x:c>
      <x:c r="D8" s="21" t="n">
        <x:f>Sources!E48</x:f>
        <x:v>91</x:v>
      </x:c>
      <x:c r="E8" s="21" t="n">
        <x:f>Sources!F48</x:f>
        <x:v>9990</x:v>
      </x:c>
      <x:c r="F8" s="21" t="n">
        <x:f>Sources!G48</x:f>
        <x:v>109.78021978021978</x:v>
      </x:c>
      <x:c r="G8" s="29" t="n">
        <x:f>E8/SUM($E$7:$E$13)</x:f>
        <x:v>0.13495258422716344</x:v>
      </x:c>
      <x:c r="H8" s="27" t="n">
        <x:f>Sources!H48</x:f>
        <x:v>3</x:v>
      </x:c>
      <x:c r="I8" s="29" t="n">
        <x:f>SUMIF($H$7:$H$13,"&lt;="&amp;H8,$G$7:$G$13)</x:f>
        <x:v>0.7319725501850701</x:v>
      </x:c>
    </x:row>
    <x:row r="9" ht="22" customHeight="1">
      <x:c r="A9" s="19" t="str">
        <x:f>Sources!A49</x:f>
        <x:v>ST30</x:v>
      </x:c>
      <x:c r="B9" s="21" t="n">
        <x:f>Sources!B49</x:f>
        <x:v>177</x:v>
      </x:c>
      <x:c r="C9" s="21" t="n">
        <x:f>Sources!C49</x:f>
        <x:v>99160</x:v>
      </x:c>
      <x:c r="D9" s="21" t="n">
        <x:f>Sources!E49</x:f>
        <x:v>123</x:v>
      </x:c>
      <x:c r="E9" s="21" t="n">
        <x:f>Sources!F49</x:f>
        <x:v>18160</x:v>
      </x:c>
      <x:c r="F9" s="21" t="n">
        <x:f>Sources!G49</x:f>
        <x:v>147.64227642276424</x:v>
      </x:c>
      <x:c r="G9" s="29" t="n">
        <x:f>E9/SUM($E$7:$E$13)</x:f>
        <x:v>0.24531921216869748</x:v>
      </x:c>
      <x:c r="H9" s="27" t="n">
        <x:f>Sources!H49</x:f>
        <x:v>2</x:v>
      </x:c>
      <x:c r="I9" s="29" t="n">
        <x:f>SUMIF($H$7:$H$13,"&lt;="&amp;H9,$G$7:$G$13)</x:f>
        <x:v>0.5970199659579066</x:v>
      </x:c>
    </x:row>
    <x:row r="10" ht="22" customHeight="1">
      <x:c r="A10" s="19" t="str">
        <x:f>Sources!A50</x:f>
        <x:v>ST40</x:v>
      </x:c>
      <x:c r="B10" s="21" t="n">
        <x:f>Sources!B50</x:f>
        <x:v>141</x:v>
      </x:c>
      <x:c r="C10" s="21" t="n">
        <x:f>Sources!C50</x:f>
        <x:v>90323</x:v>
      </x:c>
      <x:c r="D10" s="21" t="n">
        <x:f>Sources!E50</x:f>
        <x:v>87</x:v>
      </x:c>
      <x:c r="E10" s="21" t="n">
        <x:f>Sources!F50</x:f>
        <x:v>9323</x:v>
      </x:c>
      <x:c r="F10" s="21" t="n">
        <x:f>Sources!G50</x:f>
        <x:v>107.16091954022988</x:v>
      </x:c>
      <x:c r="G10" s="29" t="n">
        <x:f>E10/SUM($E$7:$E$13)</x:f>
        <x:v>0.12594223651149597</x:v>
      </x:c>
      <x:c r="H10" s="27" t="n">
        <x:f>Sources!H50</x:f>
        <x:v>4</x:v>
      </x:c>
      <x:c r="I10" s="29" t="n">
        <x:f>SUMIF($H$7:$H$13,"&lt;="&amp;H10,$G$7:$G$13)</x:f>
        <x:v>0.8579147866965661</x:v>
      </x:c>
    </x:row>
    <x:row r="11" ht="22" customHeight="1">
      <x:c r="A11" s="52" t="str">
        <x:f>Sources!A51</x:f>
        <x:v>ST50</x:v>
      </x:c>
      <x:c r="B11" s="53" t="n">
        <x:f>Sources!B51</x:f>
        <x:v>174</x:v>
      </x:c>
      <x:c r="C11" s="53" t="n">
        <x:f>Sources!C51</x:f>
        <x:v>93535</x:v>
      </x:c>
      <x:c r="D11" s="53" t="n">
        <x:f>Sources!E51</x:f>
        <x:v>129</x:v>
      </x:c>
      <x:c r="E11" s="53" t="n">
        <x:f>Sources!F51</x:f>
        <x:v>26035</x:v>
      </x:c>
      <x:c r="F11" s="53" t="n">
        <x:f>Sources!G51</x:f>
        <x:v>201.8217054263566</x:v>
      </x:c>
      <x:c r="G11" s="54" t="n">
        <x:f>E11/SUM($E$7:$E$13)</x:f>
        <x:v>0.3517007537892092</x:v>
      </x:c>
      <x:c r="H11" s="55" t="n">
        <x:f>Sources!H51</x:f>
        <x:v>1</x:v>
      </x:c>
      <x:c r="I11" s="54" t="n">
        <x:f>SUMIF($H$7:$H$13,"&lt;="&amp;H11,$G$7:$G$13)</x:f>
        <x:v>0.3517007537892092</x:v>
      </x:c>
    </x:row>
    <x:row r="12" ht="22" customHeight="1">
      <x:c r="A12" s="19" t="str">
        <x:f>Sources!A52</x:f>
        <x:v>ST60</x:v>
      </x:c>
      <x:c r="B12" s="21" t="n">
        <x:f>Sources!B52</x:f>
        <x:v>109</x:v>
      </x:c>
      <x:c r="C12" s="21" t="n">
        <x:f>Sources!C52</x:f>
        <x:v>72728</x:v>
      </x:c>
      <x:c r="D12" s="21" t="n">
        <x:f>Sources!E52</x:f>
        <x:v>64</x:v>
      </x:c>
      <x:c r="E12" s="21" t="n">
        <x:f>Sources!F52</x:f>
        <x:v>5228</x:v>
      </x:c>
      <x:c r="F12" s="21" t="n">
        <x:f>Sources!G52</x:f>
        <x:v>81.6875</x:v>
      </x:c>
      <x:c r="G12" s="29" t="n">
        <x:f>E12/SUM($E$7:$E$13)</x:f>
        <x:v>0.07062383486882987</x:v>
      </x:c>
      <x:c r="H12" s="27" t="n">
        <x:f>Sources!H52</x:f>
        <x:v>5</x:v>
      </x:c>
      <x:c r="I12" s="29" t="n">
        <x:f>SUMIF($H$7:$H$13,"&lt;="&amp;H12,$G$7:$G$13)</x:f>
        <x:v>0.9285386215653959</x:v>
      </x:c>
    </x:row>
    <x:row r="13" ht="22" customHeight="1">
      <x:c r="A13" s="19" t="str">
        <x:f>Sources!A53</x:f>
        <x:v>ST70</x:v>
      </x:c>
      <x:c r="B13" s="21" t="n">
        <x:f>Sources!B53</x:f>
        <x:v>75</x:v>
      </x:c>
      <x:c r="C13" s="21" t="n">
        <x:f>Sources!C53</x:f>
        <x:v>67684</x:v>
      </x:c>
      <x:c r="D13" s="21" t="n">
        <x:f>Sources!E53</x:f>
        <x:v>31</x:v>
      </x:c>
      <x:c r="E13" s="21" t="n">
        <x:f>Sources!F53</x:f>
        <x:v>1684</x:v>
      </x:c>
      <x:c r="F13" s="21" t="n">
        <x:f>Sources!G53</x:f>
        <x:v>54.32258064516129</x:v>
      </x:c>
      <x:c r="G13" s="29" t="n">
        <x:f>E13/SUM($E$7:$E$13)</x:f>
        <x:v>0.022748763947802123</x:v>
      </x:c>
      <x:c r="H13" s="27" t="n">
        <x:f>Sources!H53</x:f>
        <x:v>7</x:v>
      </x:c>
      <x:c r="I13" s="29" t="n">
        <x:f>SUMIF($H$7:$H$13,"&lt;="&amp;H13,$G$7:$G$13)</x:f>
        <x:v>0.9999999999999999</x:v>
      </x:c>
    </x:row>
    <x:row r="14" ht="22" customHeight="1"/>
    <x:row r="15" ht="22" customHeight="1"/>
    <x:row r="16" ht="22" customHeight="1"/>
    <x:row r="17" ht="44" customHeight="1">
      <x:c r="A17" s="9" t="str">
        <x:v>Équipe</x:v>
      </x:c>
      <x:c r="B17" s="9" t="str">
        <x:v>Fréquence totale</x:v>
      </x:c>
      <x:c r="C17" s="9" t="str">
        <x:v>Durée totale (s)</x:v>
      </x:c>
      <x:c r="D17" s="9" t="str">
        <x:v>Fréquence non planifiée</x:v>
      </x:c>
      <x:c r="E17" s="9" t="str">
        <x:v>Durée non planifiée (s)</x:v>
      </x:c>
      <x:c r="F17" s="9" t="str">
        <x:v>Moyenne non planifiée (s)</x:v>
      </x:c>
      <x:c r="G17" s="9" t="str">
        <x:v>Part non planifiée</x:v>
      </x:c>
    </x:row>
    <x:row r="18" ht="22" customHeight="1">
      <x:c r="A18" s="18" t="str">
        <x:f>Sources!J47</x:f>
        <x:v>S1</x:v>
      </x:c>
      <x:c r="B18" s="20" t="n">
        <x:f>Sources!K47</x:f>
        <x:v>500</x:v>
      </x:c>
      <x:c r="C18" s="20" t="n">
        <x:f>Sources!L47</x:f>
        <x:v>319421</x:v>
      </x:c>
      <x:c r="D18" s="20" t="n">
        <x:f>Sources!N47</x:f>
        <x:v>313</x:v>
      </x:c>
      <x:c r="E18" s="20" t="n">
        <x:f>Sources!O47</x:f>
        <x:v>38921</x:v>
      </x:c>
      <x:c r="F18" s="20" t="n">
        <x:f>Sources!P47</x:f>
        <x:v>124.34824281150159</x:v>
      </x:c>
      <x:c r="G18" s="28" t="n">
        <x:f>E18/SUM($E$18:$E$19)</x:f>
        <x:v>0.5257747277983411</x:v>
      </x:c>
    </x:row>
    <x:row r="19" ht="22" customHeight="1">
      <x:c r="A19" s="19" t="str">
        <x:f>Sources!J48</x:f>
        <x:v>S2</x:v>
      </x:c>
      <x:c r="B19" s="21" t="n">
        <x:f>Sources!K48</x:f>
        <x:v>449</x:v>
      </x:c>
      <x:c r="C19" s="21" t="n">
        <x:f>Sources!L48</x:f>
        <x:v>294605</x:v>
      </x:c>
      <x:c r="D19" s="21" t="n">
        <x:f>Sources!N48</x:f>
        <x:v>276</x:v>
      </x:c>
      <x:c r="E19" s="21" t="n">
        <x:f>Sources!O48</x:f>
        <x:v>35105</x:v>
      </x:c>
      <x:c r="F19" s="21" t="n">
        <x:f>Sources!P48</x:f>
        <x:v>127.19202898550725</x:v>
      </x:c>
      <x:c r="G19" s="29" t="n">
        <x:f>E19/SUM($E$18:$E$19)</x:f>
        <x:v>0.4742252722016589</x:v>
      </x:c>
    </x:row>
    <x:row r="20" ht="22" customHeight="1"/>
    <x:row r="21" ht="22" customHeight="1"/>
    <x:row r="22" ht="22" customHeight="1"/>
    <x:row r="23" ht="38" customHeight="1">
      <x:c r="A23" s="43" t="str">
        <x:v>Poste prioritaire</x:v>
      </x:c>
      <x:c r="B23" s="44" t="str">
        <x:v>ST50 concentre 35,17 % des arrêts non planifiés, devant ST30 à 24,53 %. Ensemble, ces deux postes représentent 59,70 % du temps non planifié.</x:v>
      </x:c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5"/>
    </x:row>
    <x:row r="24" ht="38" customHeight="1">
      <x:c r="A24" s="46" t="str">
        <x:v>Cohérence J08</x:v>
      </x:c>
      <x:c r="B24" s="42" t="str">
        <x:v>ST50 reste le goulot observé dominant et devient aussi le premier poste par durée d'arrêt non planifiée. Le signal est cohérent entre capacité et disponibilité.</x:v>
      </x:c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7"/>
    </x:row>
    <x:row r="25" ht="38" customHeight="1">
      <x:c r="A25" s="46" t="str">
        <x:v>Équipes</x:v>
      </x:c>
      <x:c r="B25" s="42" t="str">
        <x:v>S1 représente 52,58 % du temps non planifié contre 47,42 % pour S2. L'écart est faible et ne suffit pas à conclure à un problème spécifique d'équipe.</x:v>
      </x:c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7"/>
    </x:row>
    <x:row r="26" ht="38" customHeight="1">
      <x:c r="A26" s="48" t="str">
        <x:v>Action</x:v>
      </x:c>
      <x:c r="B26" s="49" t="str">
        <x:v>Prioriser l'investigation des pannes équipement, de l'outillage et des capteurs sur ST50 puis ST30. Ne pas attribuer le problème à une équipe sans preuve supplémentaire.</x:v>
      </x:c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  <x:c r="P26" s="49"/>
      <x:c r="Q26" s="49"/>
      <x:c r="R26" s="50"/>
    </x:row>
    <x:row r="27" ht="22" customHeight="1"/>
  </x:sheetData>
  <x:mergeCells>
    <x:mergeCell ref="B23:R23"/>
    <x:mergeCell ref="B24:R24"/>
    <x:mergeCell ref="B25:R25"/>
    <x:mergeCell ref="B26:R26"/>
  </x:mergeCells>
  <x:pageMargins left="0.7" right="0.7" top="0.75" bottom="0.75" header="0.3" footer="0.3"/>
  <x:drawing xmlns:r="http://schemas.openxmlformats.org/officeDocument/2006/relationships" r:id="R875412bb88a1465b"/>
</x:worksheet>
</file>

<file path=xl/worksheets/sheet4.xml><?xml version="1.0" encoding="utf-8"?>
<x:worksheet xmlns:x="http://schemas.openxmlformats.org/spreadsheetml/2006/main">
  <x:sheetPr>
    <x:tabColor rgb="FF28B8D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7" hidden="0" customWidth="1"/>
    <x:col min="8" max="8" width="17" hidden="0" customWidth="1"/>
    <x:col min="9" max="9" width="17" hidden="0" customWidth="1"/>
    <x:col min="10" max="10" width="3" hidden="0" customWidth="1"/>
    <x:col min="11" max="11" width="23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22" customHeight="1"/>
    <x:row r="2" ht="22" customHeight="1">
      <x:c r="A2" s="1" t="str">
        <x:v>EMA-120 - Évolution temporelle des arrêts</x:v>
      </x:c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3" t="str">
        <x:v>Tendance quotidienne sur 20 jours. La vue met l'accent sur le temps non planifié ; les changements planifiés restent visibles dans le tableau.</x:v>
      </x:c>
    </x:row>
    <x:row r="5" ht="22" customHeight="1"/>
    <x:row r="6" ht="44" customHeight="1">
      <x:c r="A6" s="9" t="str">
        <x:v>Date</x:v>
      </x:c>
      <x:c r="B6" s="9" t="str">
        <x:v>Événements</x:v>
      </x:c>
      <x:c r="C6" s="9" t="str">
        <x:v>Durée totale (s)</x:v>
      </x:c>
      <x:c r="D6" s="9" t="str">
        <x:v>Durée planifiée (s)</x:v>
      </x:c>
      <x:c r="E6" s="9" t="str">
        <x:v>Durée non planifiée (s)</x:v>
      </x:c>
      <x:c r="F6" s="9" t="str">
        <x:v>Moyenne (s)</x:v>
      </x:c>
      <x:c r="G6" s="9" t="str">
        <x:v>Part planifiée</x:v>
      </x:c>
      <x:c r="H6" s="9" t="str">
        <x:v>Part non planifiée</x:v>
      </x:c>
      <x:c r="I6" s="9" t="str">
        <x:v>Non planifié (min)</x:v>
      </x:c>
    </x:row>
    <x:row r="7" ht="22" customHeight="1">
      <x:c r="A7" s="18" t="str">
        <x:f>Sources!A58</x:f>
        <x:v>2027-01-11</x:v>
      </x:c>
      <x:c r="B7" s="20" t="n">
        <x:f>Sources!B58</x:f>
        <x:v>42</x:v>
      </x:c>
      <x:c r="C7" s="20" t="n">
        <x:f>Sources!C58</x:f>
        <x:v>20828</x:v>
      </x:c>
      <x:c r="D7" s="20" t="n">
        <x:f>Sources!F58</x:f>
        <x:v>16500</x:v>
      </x:c>
      <x:c r="E7" s="20" t="n">
        <x:f>Sources!H58</x:f>
        <x:v>4328</x:v>
      </x:c>
      <x:c r="F7" s="20" t="n">
        <x:f>Sources!D58</x:f>
        <x:v>495.9047619047619</x:v>
      </x:c>
      <x:c r="G7" s="28" t="n">
        <x:f>D7/C7</x:f>
        <x:v>0.792202803917803</x:v>
      </x:c>
      <x:c r="H7" s="28" t="n">
        <x:f>E7/C7</x:f>
        <x:v>0.20779719608219704</x:v>
      </x:c>
      <x:c r="I7" s="56" t="n">
        <x:f>E7/60</x:f>
        <x:v>72.13333333333334</x:v>
      </x:c>
    </x:row>
    <x:row r="8" ht="22" customHeight="1">
      <x:c r="A8" s="19" t="str">
        <x:f>Sources!A59</x:f>
        <x:v>2027-01-12</x:v>
      </x:c>
      <x:c r="B8" s="21" t="n">
        <x:f>Sources!B59</x:f>
        <x:v>45</x:v>
      </x:c>
      <x:c r="C8" s="21" t="n">
        <x:f>Sources!C59</x:f>
        <x:v>31626</x:v>
      </x:c>
      <x:c r="D8" s="21" t="n">
        <x:f>Sources!F59</x:f>
        <x:v>28500</x:v>
      </x:c>
      <x:c r="E8" s="21" t="n">
        <x:f>Sources!H59</x:f>
        <x:v>3126</x:v>
      </x:c>
      <x:c r="F8" s="21" t="n">
        <x:f>Sources!D59</x:f>
        <x:v>702.8</x:v>
      </x:c>
      <x:c r="G8" s="29" t="n">
        <x:f>D8/C8</x:f>
        <x:v>0.9011572756592677</x:v>
      </x:c>
      <x:c r="H8" s="29" t="n">
        <x:f>E8/C8</x:f>
        <x:v>0.09884272434073231</x:v>
      </x:c>
      <x:c r="I8" s="57" t="n">
        <x:f>E8/60</x:f>
        <x:v>52.1</x:v>
      </x:c>
    </x:row>
    <x:row r="9" ht="22" customHeight="1">
      <x:c r="A9" s="19" t="str">
        <x:f>Sources!A60</x:f>
        <x:v>2027-01-13</x:v>
      </x:c>
      <x:c r="B9" s="21" t="n">
        <x:f>Sources!B60</x:f>
        <x:v>49</x:v>
      </x:c>
      <x:c r="C9" s="21" t="n">
        <x:f>Sources!C60</x:f>
        <x:v>31341</x:v>
      </x:c>
      <x:c r="D9" s="21" t="n">
        <x:f>Sources!F60</x:f>
        <x:v>27000</x:v>
      </x:c>
      <x:c r="E9" s="21" t="n">
        <x:f>Sources!H60</x:f>
        <x:v>4341</x:v>
      </x:c>
      <x:c r="F9" s="21" t="n">
        <x:f>Sources!D60</x:f>
        <x:v>639.6122448979592</x:v>
      </x:c>
      <x:c r="G9" s="29" t="n">
        <x:f>D9/C9</x:f>
        <x:v>0.8614913372259979</x:v>
      </x:c>
      <x:c r="H9" s="29" t="n">
        <x:f>E9/C9</x:f>
        <x:v>0.13850866277400212</x:v>
      </x:c>
      <x:c r="I9" s="57" t="n">
        <x:f>E9/60</x:f>
        <x:v>72.35</x:v>
      </x:c>
    </x:row>
    <x:row r="10" ht="22" customHeight="1">
      <x:c r="A10" s="19" t="str">
        <x:f>Sources!A61</x:f>
        <x:v>2027-01-14</x:v>
      </x:c>
      <x:c r="B10" s="21" t="n">
        <x:f>Sources!B61</x:f>
        <x:v>40</x:v>
      </x:c>
      <x:c r="C10" s="21" t="n">
        <x:f>Sources!C61</x:f>
        <x:v>29622</x:v>
      </x:c>
      <x:c r="D10" s="21" t="n">
        <x:f>Sources!F61</x:f>
        <x:v>27000</x:v>
      </x:c>
      <x:c r="E10" s="21" t="n">
        <x:f>Sources!H61</x:f>
        <x:v>2622</x:v>
      </x:c>
      <x:c r="F10" s="21" t="n">
        <x:f>Sources!D61</x:f>
        <x:v>740.55</x:v>
      </x:c>
      <x:c r="G10" s="29" t="n">
        <x:f>D10/C10</x:f>
        <x:v>0.9114847073121328</x:v>
      </x:c>
      <x:c r="H10" s="29" t="n">
        <x:f>E10/C10</x:f>
        <x:v>0.08851529268786712</x:v>
      </x:c>
      <x:c r="I10" s="57" t="n">
        <x:f>E10/60</x:f>
        <x:v>43.7</x:v>
      </x:c>
    </x:row>
    <x:row r="11" ht="22" customHeight="1">
      <x:c r="A11" s="19" t="str">
        <x:f>Sources!A62</x:f>
        <x:v>2027-01-15</x:v>
      </x:c>
      <x:c r="B11" s="21" t="n">
        <x:f>Sources!B62</x:f>
        <x:v>47</x:v>
      </x:c>
      <x:c r="C11" s="21" t="n">
        <x:f>Sources!C62</x:f>
        <x:v>30891</x:v>
      </x:c>
      <x:c r="D11" s="21" t="n">
        <x:f>Sources!F62</x:f>
        <x:v>27000</x:v>
      </x:c>
      <x:c r="E11" s="21" t="n">
        <x:f>Sources!H62</x:f>
        <x:v>3891</x:v>
      </x:c>
      <x:c r="F11" s="21" t="n">
        <x:f>Sources!D62</x:f>
        <x:v>657.2553191489362</x:v>
      </x:c>
      <x:c r="G11" s="29" t="n">
        <x:f>D11/C11</x:f>
        <x:v>0.8740409828105273</x:v>
      </x:c>
      <x:c r="H11" s="29" t="n">
        <x:f>E11/C11</x:f>
        <x:v>0.12595901718947267</x:v>
      </x:c>
      <x:c r="I11" s="57" t="n">
        <x:f>E11/60</x:f>
        <x:v>64.85</x:v>
      </x:c>
    </x:row>
    <x:row r="12" ht="22" customHeight="1">
      <x:c r="A12" s="19" t="str">
        <x:f>Sources!A63</x:f>
        <x:v>2027-01-18</x:v>
      </x:c>
      <x:c r="B12" s="21" t="n">
        <x:f>Sources!B63</x:f>
        <x:v>48</x:v>
      </x:c>
      <x:c r="C12" s="21" t="n">
        <x:f>Sources!C63</x:f>
        <x:v>29290</x:v>
      </x:c>
      <x:c r="D12" s="21" t="n">
        <x:f>Sources!F63</x:f>
        <x:v>25500</x:v>
      </x:c>
      <x:c r="E12" s="21" t="n">
        <x:f>Sources!H63</x:f>
        <x:v>3790</x:v>
      </x:c>
      <x:c r="F12" s="21" t="n">
        <x:f>Sources!D63</x:f>
        <x:v>610.2083333333334</x:v>
      </x:c>
      <x:c r="G12" s="29" t="n">
        <x:f>D12/C12</x:f>
        <x:v>0.8706043018094913</x:v>
      </x:c>
      <x:c r="H12" s="29" t="n">
        <x:f>E12/C12</x:f>
        <x:v>0.1293956981905087</x:v>
      </x:c>
      <x:c r="I12" s="57" t="n">
        <x:f>E12/60</x:f>
        <x:v>63.166666666666664</x:v>
      </x:c>
    </x:row>
    <x:row r="13" ht="22" customHeight="1">
      <x:c r="A13" s="19" t="str">
        <x:f>Sources!A64</x:f>
        <x:v>2027-01-19</x:v>
      </x:c>
      <x:c r="B13" s="21" t="n">
        <x:f>Sources!B64</x:f>
        <x:v>54</x:v>
      </x:c>
      <x:c r="C13" s="21" t="n">
        <x:f>Sources!C64</x:f>
        <x:v>33570</x:v>
      </x:c>
      <x:c r="D13" s="21" t="n">
        <x:f>Sources!F64</x:f>
        <x:v>30000</x:v>
      </x:c>
      <x:c r="E13" s="21" t="n">
        <x:f>Sources!H64</x:f>
        <x:v>3570</x:v>
      </x:c>
      <x:c r="F13" s="21" t="n">
        <x:f>Sources!D64</x:f>
        <x:v>621.6666666666666</x:v>
      </x:c>
      <x:c r="G13" s="29" t="n">
        <x:f>D13/C13</x:f>
        <x:v>0.8936550491510277</x:v>
      </x:c>
      <x:c r="H13" s="29" t="n">
        <x:f>E13/C13</x:f>
        <x:v>0.1063449508489723</x:v>
      </x:c>
      <x:c r="I13" s="57" t="n">
        <x:f>E13/60</x:f>
        <x:v>59.5</x:v>
      </x:c>
    </x:row>
    <x:row r="14" ht="22" customHeight="1">
      <x:c r="A14" s="19" t="str">
        <x:f>Sources!A65</x:f>
        <x:v>2027-01-20</x:v>
      </x:c>
      <x:c r="B14" s="21" t="n">
        <x:f>Sources!B65</x:f>
        <x:v>55</x:v>
      </x:c>
      <x:c r="C14" s="21" t="n">
        <x:f>Sources!C65</x:f>
        <x:v>31887</x:v>
      </x:c>
      <x:c r="D14" s="21" t="n">
        <x:f>Sources!F65</x:f>
        <x:v>27000</x:v>
      </x:c>
      <x:c r="E14" s="21" t="n">
        <x:f>Sources!H65</x:f>
        <x:v>4887</x:v>
      </x:c>
      <x:c r="F14" s="21" t="n">
        <x:f>Sources!D65</x:f>
        <x:v>579.7636363636364</x:v>
      </x:c>
      <x:c r="G14" s="29" t="n">
        <x:f>D14/C14</x:f>
        <x:v>0.8467400508044031</x:v>
      </x:c>
      <x:c r="H14" s="29" t="n">
        <x:f>E14/C14</x:f>
        <x:v>0.15325994919559696</x:v>
      </x:c>
      <x:c r="I14" s="57" t="n">
        <x:f>E14/60</x:f>
        <x:v>81.45</x:v>
      </x:c>
    </x:row>
    <x:row r="15" ht="22" customHeight="1">
      <x:c r="A15" s="19" t="str">
        <x:f>Sources!A66</x:f>
        <x:v>2027-01-21</x:v>
      </x:c>
      <x:c r="B15" s="21" t="n">
        <x:f>Sources!B66</x:f>
        <x:v>46</x:v>
      </x:c>
      <x:c r="C15" s="21" t="n">
        <x:f>Sources!C66</x:f>
        <x:v>30582</x:v>
      </x:c>
      <x:c r="D15" s="21" t="n">
        <x:f>Sources!F66</x:f>
        <x:v>27000</x:v>
      </x:c>
      <x:c r="E15" s="21" t="n">
        <x:f>Sources!H66</x:f>
        <x:v>3582</x:v>
      </x:c>
      <x:c r="F15" s="21" t="n">
        <x:f>Sources!D66</x:f>
        <x:v>664.8260869565217</x:v>
      </x:c>
      <x:c r="G15" s="29" t="n">
        <x:f>D15/C15</x:f>
        <x:v>0.8828722778104767</x:v>
      </x:c>
      <x:c r="H15" s="29" t="n">
        <x:f>E15/C15</x:f>
        <x:v>0.11712772218952325</x:v>
      </x:c>
      <x:c r="I15" s="57" t="n">
        <x:f>E15/60</x:f>
        <x:v>59.7</x:v>
      </x:c>
    </x:row>
    <x:row r="16" ht="22" customHeight="1">
      <x:c r="A16" s="19" t="str">
        <x:f>Sources!A67</x:f>
        <x:v>2027-01-22</x:v>
      </x:c>
      <x:c r="B16" s="21" t="n">
        <x:f>Sources!B67</x:f>
        <x:v>51</x:v>
      </x:c>
      <x:c r="C16" s="21" t="n">
        <x:f>Sources!C67</x:f>
        <x:v>32797</x:v>
      </x:c>
      <x:c r="D16" s="21" t="n">
        <x:f>Sources!F67</x:f>
        <x:v>28500</x:v>
      </x:c>
      <x:c r="E16" s="21" t="n">
        <x:f>Sources!H67</x:f>
        <x:v>4297</x:v>
      </x:c>
      <x:c r="F16" s="21" t="n">
        <x:f>Sources!D67</x:f>
        <x:v>643.0784313725491</x:v>
      </x:c>
      <x:c r="G16" s="29" t="n">
        <x:f>D16/C16</x:f>
        <x:v>0.8689819190779644</x:v>
      </x:c>
      <x:c r="H16" s="29" t="n">
        <x:f>E16/C16</x:f>
        <x:v>0.13101808092203554</x:v>
      </x:c>
      <x:c r="I16" s="57" t="n">
        <x:f>E16/60</x:f>
        <x:v>71.61666666666666</x:v>
      </x:c>
    </x:row>
    <x:row r="17" ht="22" customHeight="1">
      <x:c r="A17" s="19" t="str">
        <x:f>Sources!A68</x:f>
        <x:v>2027-01-25</x:v>
      </x:c>
      <x:c r="B17" s="21" t="n">
        <x:f>Sources!B68</x:f>
        <x:v>40</x:v>
      </x:c>
      <x:c r="C17" s="21" t="n">
        <x:f>Sources!C68</x:f>
        <x:v>31270</x:v>
      </x:c>
      <x:c r="D17" s="21" t="n">
        <x:f>Sources!F68</x:f>
        <x:v>28500</x:v>
      </x:c>
      <x:c r="E17" s="21" t="n">
        <x:f>Sources!H68</x:f>
        <x:v>2770</x:v>
      </x:c>
      <x:c r="F17" s="21" t="n">
        <x:f>Sources!D68</x:f>
        <x:v>781.75</x:v>
      </x:c>
      <x:c r="G17" s="29" t="n">
        <x:f>D17/C17</x:f>
        <x:v>0.9114166933162776</x:v>
      </x:c>
      <x:c r="H17" s="29" t="n">
        <x:f>E17/C17</x:f>
        <x:v>0.08858330668372241</x:v>
      </x:c>
      <x:c r="I17" s="57" t="n">
        <x:f>E17/60</x:f>
        <x:v>46.166666666666664</x:v>
      </x:c>
    </x:row>
    <x:row r="18" ht="22" customHeight="1">
      <x:c r="A18" s="19" t="str">
        <x:f>Sources!A69</x:f>
        <x:v>2027-01-26</x:v>
      </x:c>
      <x:c r="B18" s="21" t="n">
        <x:f>Sources!B69</x:f>
        <x:v>58</x:v>
      </x:c>
      <x:c r="C18" s="21" t="n">
        <x:f>Sources!C69</x:f>
        <x:v>31657</x:v>
      </x:c>
      <x:c r="D18" s="21" t="n">
        <x:f>Sources!F69</x:f>
        <x:v>27000</x:v>
      </x:c>
      <x:c r="E18" s="21" t="n">
        <x:f>Sources!H69</x:f>
        <x:v>4657</x:v>
      </x:c>
      <x:c r="F18" s="21" t="n">
        <x:f>Sources!D69</x:f>
        <x:v>545.8103448275862</x:v>
      </x:c>
      <x:c r="G18" s="29" t="n">
        <x:f>D18/C18</x:f>
        <x:v>0.8528919354329216</x:v>
      </x:c>
      <x:c r="H18" s="29" t="n">
        <x:f>E18/C18</x:f>
        <x:v>0.14710806456707837</x:v>
      </x:c>
      <x:c r="I18" s="57" t="n">
        <x:f>E18/60</x:f>
        <x:v>77.61666666666666</x:v>
      </x:c>
    </x:row>
    <x:row r="19" ht="22" customHeight="1">
      <x:c r="A19" s="19" t="str">
        <x:f>Sources!A70</x:f>
        <x:v>2027-01-27</x:v>
      </x:c>
      <x:c r="B19" s="21" t="n">
        <x:f>Sources!B70</x:f>
        <x:v>45</x:v>
      </x:c>
      <x:c r="C19" s="21" t="n">
        <x:f>Sources!C70</x:f>
        <x:v>29189</x:v>
      </x:c>
      <x:c r="D19" s="21" t="n">
        <x:f>Sources!F70</x:f>
        <x:v>25500</x:v>
      </x:c>
      <x:c r="E19" s="21" t="n">
        <x:f>Sources!H70</x:f>
        <x:v>3689</x:v>
      </x:c>
      <x:c r="F19" s="21" t="n">
        <x:f>Sources!D70</x:f>
        <x:v>648.6444444444444</x:v>
      </x:c>
      <x:c r="G19" s="29" t="n">
        <x:f>D19/C19</x:f>
        <x:v>0.8736167734420501</x:v>
      </x:c>
      <x:c r="H19" s="29" t="n">
        <x:f>E19/C19</x:f>
        <x:v>0.12638322655794992</x:v>
      </x:c>
      <x:c r="I19" s="57" t="n">
        <x:f>E19/60</x:f>
        <x:v>61.483333333333334</x:v>
      </x:c>
    </x:row>
    <x:row r="20" ht="22" customHeight="1">
      <x:c r="A20" s="19" t="str">
        <x:f>Sources!A71</x:f>
        <x:v>2027-01-28</x:v>
      </x:c>
      <x:c r="B20" s="21" t="n">
        <x:f>Sources!B71</x:f>
        <x:v>47</x:v>
      </x:c>
      <x:c r="C20" s="21" t="n">
        <x:f>Sources!C71</x:f>
        <x:v>31582</x:v>
      </x:c>
      <x:c r="D20" s="21" t="n">
        <x:f>Sources!F71</x:f>
        <x:v>28500</x:v>
      </x:c>
      <x:c r="E20" s="21" t="n">
        <x:f>Sources!H71</x:f>
        <x:v>3082</x:v>
      </x:c>
      <x:c r="F20" s="21" t="n">
        <x:f>Sources!D71</x:f>
        <x:v>671.9574468085107</x:v>
      </x:c>
      <x:c r="G20" s="29" t="n">
        <x:f>D20/C20</x:f>
        <x:v>0.9024127667658793</x:v>
      </x:c>
      <x:c r="H20" s="29" t="n">
        <x:f>E20/C20</x:f>
        <x:v>0.0975872332341207</x:v>
      </x:c>
      <x:c r="I20" s="57" t="n">
        <x:f>E20/60</x:f>
        <x:v>51.36666666666667</x:v>
      </x:c>
    </x:row>
    <x:row r="21" ht="22" customHeight="1">
      <x:c r="A21" s="19" t="str">
        <x:f>Sources!A72</x:f>
        <x:v>2027-01-29</x:v>
      </x:c>
      <x:c r="B21" s="21" t="n">
        <x:f>Sources!B72</x:f>
        <x:v>42</x:v>
      </x:c>
      <x:c r="C21" s="21" t="n">
        <x:f>Sources!C72</x:f>
        <x:v>30053</x:v>
      </x:c>
      <x:c r="D21" s="21" t="n">
        <x:f>Sources!F72</x:f>
        <x:v>27000</x:v>
      </x:c>
      <x:c r="E21" s="21" t="n">
        <x:f>Sources!H72</x:f>
        <x:v>3053</x:v>
      </x:c>
      <x:c r="F21" s="21" t="n">
        <x:f>Sources!D72</x:f>
        <x:v>715.547619047619</x:v>
      </x:c>
      <x:c r="G21" s="29" t="n">
        <x:f>D21/C21</x:f>
        <x:v>0.8984128040461851</x:v>
      </x:c>
      <x:c r="H21" s="29" t="n">
        <x:f>E21/C21</x:f>
        <x:v>0.10158719595381492</x:v>
      </x:c>
      <x:c r="I21" s="57" t="n">
        <x:f>E21/60</x:f>
        <x:v>50.88333333333333</x:v>
      </x:c>
    </x:row>
    <x:row r="22" ht="22" customHeight="1">
      <x:c r="A22" s="19" t="str">
        <x:f>Sources!A73</x:f>
        <x:v>2027-02-01</x:v>
      </x:c>
      <x:c r="B22" s="21" t="n">
        <x:f>Sources!B73</x:f>
        <x:v>50</x:v>
      </x:c>
      <x:c r="C22" s="21" t="n">
        <x:f>Sources!C73</x:f>
        <x:v>33863</x:v>
      </x:c>
      <x:c r="D22" s="21" t="n">
        <x:f>Sources!F73</x:f>
        <x:v>30000</x:v>
      </x:c>
      <x:c r="E22" s="21" t="n">
        <x:f>Sources!H73</x:f>
        <x:v>3863</x:v>
      </x:c>
      <x:c r="F22" s="21" t="n">
        <x:f>Sources!D73</x:f>
        <x:v>677.26</x:v>
      </x:c>
      <x:c r="G22" s="29" t="n">
        <x:f>D22/C22</x:f>
        <x:v>0.885922688480052</x:v>
      </x:c>
      <x:c r="H22" s="29" t="n">
        <x:f>E22/C22</x:f>
        <x:v>0.11407731151994803</x:v>
      </x:c>
      <x:c r="I22" s="57" t="n">
        <x:f>E22/60</x:f>
        <x:v>64.38333333333334</x:v>
      </x:c>
    </x:row>
    <x:row r="23" ht="38" customHeight="1">
      <x:c r="A23" s="19" t="str">
        <x:f>Sources!A74</x:f>
        <x:v>2027-02-02</x:v>
      </x:c>
      <x:c r="B23" s="21" t="n">
        <x:f>Sources!B74</x:f>
        <x:v>39</x:v>
      </x:c>
      <x:c r="C23" s="21" t="n">
        <x:f>Sources!C74</x:f>
        <x:v>28162</x:v>
      </x:c>
      <x:c r="D23" s="21" t="n">
        <x:f>Sources!F74</x:f>
        <x:v>25500</x:v>
      </x:c>
      <x:c r="E23" s="21" t="n">
        <x:f>Sources!H74</x:f>
        <x:v>2662</x:v>
      </x:c>
      <x:c r="F23" s="21" t="n">
        <x:f>Sources!D74</x:f>
        <x:v>722.1025641025641</x:v>
      </x:c>
      <x:c r="G23" s="29" t="n">
        <x:f>D23/C23</x:f>
        <x:v>0.9054754633903842</x:v>
      </x:c>
      <x:c r="H23" s="29" t="n">
        <x:f>E23/C23</x:f>
        <x:v>0.0945245366096158</x:v>
      </x:c>
      <x:c r="I23" s="57" t="n">
        <x:f>E23/60</x:f>
        <x:v>44.36666666666667</x:v>
      </x:c>
      <x:c r="K23" s="43" t="str">
        <x:v>Jour le plus chargé</x:v>
      </x:c>
      <x:c r="L23" s="44" t="str">
        <x:v>2027-02-04 : 4 953 s non planifiées, soit 82,5 min.</x:v>
      </x:c>
      <x:c r="M23" s="44"/>
      <x:c r="N23" s="44"/>
      <x:c r="O23" s="44"/>
      <x:c r="P23" s="44"/>
      <x:c r="Q23" s="44"/>
      <x:c r="R23" s="45"/>
    </x:row>
    <x:row r="24" ht="38" customHeight="1">
      <x:c r="A24" s="19" t="str">
        <x:f>Sources!A75</x:f>
        <x:v>2027-02-03</x:v>
      </x:c>
      <x:c r="B24" s="21" t="n">
        <x:f>Sources!B75</x:f>
        <x:v>50</x:v>
      </x:c>
      <x:c r="C24" s="21" t="n">
        <x:f>Sources!C75</x:f>
        <x:v>31314</x:v>
      </x:c>
      <x:c r="D24" s="21" t="n">
        <x:f>Sources!F75</x:f>
        <x:v>27000</x:v>
      </x:c>
      <x:c r="E24" s="21" t="n">
        <x:f>Sources!H75</x:f>
        <x:v>4314</x:v>
      </x:c>
      <x:c r="F24" s="21" t="n">
        <x:f>Sources!D75</x:f>
        <x:v>626.28</x:v>
      </x:c>
      <x:c r="G24" s="29" t="n">
        <x:f>D24/C24</x:f>
        <x:v>0.8622341444721211</x:v>
      </x:c>
      <x:c r="H24" s="29" t="n">
        <x:f>E24/C24</x:f>
        <x:v>0.1377658555278789</x:v>
      </x:c>
      <x:c r="I24" s="57" t="n">
        <x:f>E24/60</x:f>
        <x:v>71.9</x:v>
      </x:c>
      <x:c r="K24" s="46" t="str">
        <x:v>Lecture</x:v>
      </x:c>
      <x:c r="L24" s="42" t="str">
        <x:v>Les arrêts non planifiés fluctuent d'un jour à l'autre, sans rupture unique qui expliquerait l'ensemble de la période.</x:v>
      </x:c>
      <x:c r="M24" s="42"/>
      <x:c r="N24" s="42"/>
      <x:c r="O24" s="42"/>
      <x:c r="P24" s="42"/>
      <x:c r="Q24" s="42"/>
      <x:c r="R24" s="47"/>
    </x:row>
    <x:row r="25" ht="38" customHeight="1">
      <x:c r="A25" s="19" t="str">
        <x:f>Sources!A76</x:f>
        <x:v>2027-02-04</x:v>
      </x:c>
      <x:c r="B25" s="21" t="n">
        <x:f>Sources!B76</x:f>
        <x:v>59</x:v>
      </x:c>
      <x:c r="C25" s="21" t="n">
        <x:f>Sources!C76</x:f>
        <x:v>31953</x:v>
      </x:c>
      <x:c r="D25" s="21" t="n">
        <x:f>Sources!F76</x:f>
        <x:v>27000</x:v>
      </x:c>
      <x:c r="E25" s="21" t="n">
        <x:f>Sources!H76</x:f>
        <x:v>4953</x:v>
      </x:c>
      <x:c r="F25" s="21" t="n">
        <x:f>Sources!D76</x:f>
        <x:v>541.5762711864406</x:v>
      </x:c>
      <x:c r="G25" s="29" t="n">
        <x:f>D25/C25</x:f>
        <x:v>0.8449910806497043</x:v>
      </x:c>
      <x:c r="H25" s="29" t="n">
        <x:f>E25/C25</x:f>
        <x:v>0.15500891935029576</x:v>
      </x:c>
      <x:c r="I25" s="57" t="n">
        <x:f>E25/60</x:f>
        <x:v>82.55</x:v>
      </x:c>
      <x:c r="K25" s="46" t="str">
        <x:v>Prudence</x:v>
      </x:c>
      <x:c r="L25" s="42" t="str">
        <x:v>Une pointe quotidienne indique où investiguer, pas pourquoi l'arrêt s'est produit. Croiser date, poste et cause avant toute conclusion.</x:v>
      </x:c>
      <x:c r="M25" s="42"/>
      <x:c r="N25" s="42"/>
      <x:c r="O25" s="42"/>
      <x:c r="P25" s="42"/>
      <x:c r="Q25" s="42"/>
      <x:c r="R25" s="47"/>
    </x:row>
    <x:row r="26" ht="38" customHeight="1">
      <x:c r="A26" s="19" t="str">
        <x:f>Sources!A77</x:f>
        <x:v>2027-02-05</x:v>
      </x:c>
      <x:c r="B26" s="21" t="n">
        <x:f>Sources!B77</x:f>
        <x:v>42</x:v>
      </x:c>
      <x:c r="C26" s="21" t="n">
        <x:f>Sources!C77</x:f>
        <x:v>32549</x:v>
      </x:c>
      <x:c r="D26" s="21" t="n">
        <x:f>Sources!F77</x:f>
        <x:v>30000</x:v>
      </x:c>
      <x:c r="E26" s="21" t="n">
        <x:f>Sources!H77</x:f>
        <x:v>2549</x:v>
      </x:c>
      <x:c r="F26" s="21" t="n">
        <x:f>Sources!D77</x:f>
        <x:v>774.9761904761905</x:v>
      </x:c>
      <x:c r="G26" s="29" t="n">
        <x:f>D26/C26</x:f>
        <x:v>0.9216873022212664</x:v>
      </x:c>
      <x:c r="H26" s="29" t="n">
        <x:f>E26/C26</x:f>
        <x:v>0.0783126977787336</x:v>
      </x:c>
      <x:c r="I26" s="57" t="n">
        <x:f>E26/60</x:f>
        <x:v>42.483333333333334</x:v>
      </x:c>
      <x:c r="K26" s="48" t="str">
        <x:v>Suite</x:v>
      </x:c>
      <x:c r="L26" s="49" t="str">
        <x:v>Le Jour 13 utilisera les priorités du Pareto pour construire l'Ishikawa et les 5 Why.</x:v>
      </x:c>
      <x:c r="M26" s="49"/>
      <x:c r="N26" s="49"/>
      <x:c r="O26" s="49"/>
      <x:c r="P26" s="49"/>
      <x:c r="Q26" s="49"/>
      <x:c r="R26" s="50"/>
    </x:row>
  </x:sheetData>
  <x:mergeCells>
    <x:mergeCell ref="L23:R23"/>
    <x:mergeCell ref="L24:R24"/>
    <x:mergeCell ref="L25:R25"/>
    <x:mergeCell ref="L26:R26"/>
  </x:mergeCells>
  <x:pageMargins left="0.7" right="0.7" top="0.75" bottom="0.75" header="0.3" footer="0.3"/>
  <x:drawing xmlns:r="http://schemas.openxmlformats.org/officeDocument/2006/relationships" r:id="Raa8909402c944d6a"/>
</x:worksheet>
</file>

<file path=xl/worksheets/sheet5.xml><?xml version="1.0" encoding="utf-8"?>
<x:worksheet xmlns:x="http://schemas.openxmlformats.org/spreadsheetml/2006/main">
  <x:sheetPr>
    <x:tabColor rgb="FF64748B"/>
  </x:sheetPr>
  <x:sheetViews>
    <x:sheetView showGridLines="0" workbookViewId="0">
      <x:pane ySplit="17" topLeftCell="A18" activePane="bottomLeft" state="frozen"/>
    </x:sheetView>
  </x:sheetViews>
  <x:sheetFormatPr defaultRowHeight="15"/>
  <x:cols>
    <x:col min="1" max="1" width="22" hidden="0" customWidth="1"/>
    <x:col min="2" max="2" width="25" hidden="0" customWidth="1"/>
    <x:col min="3" max="3" width="4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" hidden="0" customWidth="1"/>
    <x:col min="10" max="10" width="22" hidden="0" customWidth="1"/>
    <x:col min="11" max="11" width="25" hidden="0" customWidth="1"/>
    <x:col min="12" max="12" width="66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22" customHeight="1"/>
    <x:row r="2" ht="22" customHeight="1">
      <x:c r="A2" s="1" t="str">
        <x:v>EMA-120 - Sources et agrégats J10</x:v>
      </x:c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2" customHeight="1">
      <x:c r="A4" s="3" t="str">
        <x:v>Périmètre : événements avec oee_loss_flag = TRUE. Les changements planifiés sont conservés et séparés des arrêts non planifiés.</x:v>
      </x:c>
    </x:row>
    <x:row r="5" ht="22" customHeight="1"/>
    <x:row r="6" ht="22" customHeight="1">
      <x:c r="A6" s="9" t="str">
        <x:v>Indicateur</x:v>
      </x:c>
      <x:c r="B6" s="9" t="str">
        <x:v>Valeur</x:v>
      </x:c>
      <x:c r="C6" s="9" t="str">
        <x:v>Unité</x:v>
      </x:c>
      <x:c r="D6" s="9" t="str">
        <x:v>Définition</x:v>
      </x:c>
    </x:row>
    <x:row r="7" ht="22" customHeight="1">
      <x:c r="A7" s="12" t="str">
        <x:v>Période</x:v>
      </x:c>
      <x:c r="B7" s="15" t="str">
        <x:v>2027-01-11 au 2027-02-05</x:v>
      </x:c>
      <x:c r="C7" s="12" t="str">
        <x:v>20 jours</x:v>
      </x:c>
      <x:c r="D7" s="12" t="str">
        <x:v>40 équipes</x:v>
      </x:c>
    </x:row>
    <x:row r="8" ht="22" customHeight="1">
      <x:c r="A8" s="13" t="str">
        <x:v>Événements OEE</x:v>
      </x:c>
      <x:c r="B8" s="16" t="n">
        <x:v>949</x:v>
      </x:c>
      <x:c r="C8" s="13" t="str">
        <x:v>événements</x:v>
      </x:c>
      <x:c r="D8" s="13" t="str">
        <x:v>Tous arrêts analysés</x:v>
      </x:c>
    </x:row>
    <x:row r="9" ht="22" customHeight="1">
      <x:c r="A9" s="13" t="str">
        <x:v>Durée totale</x:v>
      </x:c>
      <x:c r="B9" s="16" t="n">
        <x:v>614026</x:v>
      </x:c>
      <x:c r="C9" s="13" t="str">
        <x:v>s</x:v>
      </x:c>
      <x:c r="D9" s="13" t="str">
        <x:v>Planifié + non planifié</x:v>
      </x:c>
    </x:row>
    <x:row r="10" ht="22" customHeight="1">
      <x:c r="A10" s="13" t="str">
        <x:v>Événements planifiés</x:v>
      </x:c>
      <x:c r="B10" s="16" t="n">
        <x:v>360</x:v>
      </x:c>
      <x:c r="C10" s="13" t="str">
        <x:v>événements</x:v>
      </x:c>
      <x:c r="D10" s="13" t="str">
        <x:v>Changements de série</x:v>
      </x:c>
    </x:row>
    <x:row r="11" ht="22" customHeight="1">
      <x:c r="A11" s="13" t="str">
        <x:v>Durée planifiée</x:v>
      </x:c>
      <x:c r="B11" s="16" t="n">
        <x:v>540000</x:v>
      </x:c>
      <x:c r="C11" s="13" t="str">
        <x:v>s</x:v>
      </x:c>
      <x:c r="D11" s="13" t="str">
        <x:v>Arrêts planifiés</x:v>
      </x:c>
    </x:row>
    <x:row r="12" ht="22" customHeight="1">
      <x:c r="A12" s="13" t="str">
        <x:v>Événements non planifiés</x:v>
      </x:c>
      <x:c r="B12" s="16" t="n">
        <x:v>589</x:v>
      </x:c>
      <x:c r="C12" s="13" t="str">
        <x:v>événements</x:v>
      </x:c>
      <x:c r="D12" s="13" t="str">
        <x:v>Arrêts techniques et opérationnels</x:v>
      </x:c>
    </x:row>
    <x:row r="13" ht="22" customHeight="1">
      <x:c r="A13" s="13" t="str">
        <x:v>Durée non planifiée</x:v>
      </x:c>
      <x:c r="B13" s="16" t="n">
        <x:v>74026</x:v>
      </x:c>
      <x:c r="C13" s="13" t="str">
        <x:v>s</x:v>
      </x:c>
      <x:c r="D13" s="13" t="str">
        <x:v>Base des priorités correctives</x:v>
      </x:c>
    </x:row>
    <x:row r="14" ht="22" customHeight="1">
      <x:c r="A14" s="13" t="str">
        <x:v>Validation</x:v>
      </x:c>
      <x:c r="B14" s="17" t="str">
        <x:v>PASS</x:v>
      </x:c>
      <x:c r="C14" s="13" t="str">
        <x:v>statut</x:v>
      </x:c>
      <x:c r="D14" s="13" t="str">
        <x:v>J06 : 39 contrôles validés</x:v>
      </x:c>
    </x:row>
    <x:row r="15" ht="22" customHeight="1"/>
    <x:row r="16" ht="22" customHeight="1"/>
    <x:row r="17" ht="44" customHeight="1">
      <x:c r="A17" s="9" t="str">
        <x:v>Code</x:v>
      </x:c>
      <x:c r="B17" s="9" t="str">
        <x:v>Catégorie</x:v>
      </x:c>
      <x:c r="C17" s="9" t="str">
        <x:v>Description</x:v>
      </x:c>
      <x:c r="D17" s="9" t="str">
        <x:v>Planifié</x:v>
      </x:c>
      <x:c r="E17" s="9" t="str">
        <x:v>Fréquence</x:v>
      </x:c>
      <x:c r="F17" s="9" t="str">
        <x:v>Durée totale (s)</x:v>
      </x:c>
      <x:c r="G17" s="9" t="str">
        <x:v>Durée moyenne (s)</x:v>
      </x:c>
      <x:c r="H17" s="9" t="str">
        <x:v>Durée max (s)</x:v>
      </x:c>
      <x:c r="J17" s="9" t="str">
        <x:v>Code</x:v>
      </x:c>
      <x:c r="K17" s="9" t="str">
        <x:v>Catégorie</x:v>
      </x:c>
      <x:c r="L17" s="9" t="str">
        <x:v>Description</x:v>
      </x:c>
      <x:c r="M17" s="9" t="str">
        <x:v>Planifié</x:v>
      </x:c>
      <x:c r="N17" s="9" t="str">
        <x:v>Fréquence</x:v>
      </x:c>
      <x:c r="O17" s="9" t="str">
        <x:v>Durée totale (s)</x:v>
      </x:c>
      <x:c r="P17" s="9" t="str">
        <x:v>Durée moyenne (s)</x:v>
      </x:c>
      <x:c r="Q17" s="9" t="str">
        <x:v>Durée max (s)</x:v>
      </x:c>
    </x:row>
    <x:row r="18" ht="22" customHeight="1">
      <x:c r="A18" s="18" t="str">
        <x:v>DT-C15</x:v>
      </x:c>
      <x:c r="B18" s="18" t="str">
        <x:v>CHANGEOVER</x:v>
      </x:c>
      <x:c r="C18" s="18" t="str">
        <x:v>Changement planifié de variante</x:v>
      </x:c>
      <x:c r="D18" s="18" t="str">
        <x:v>TRUE</x:v>
      </x:c>
      <x:c r="E18" s="20" t="n">
        <x:v>360</x:v>
      </x:c>
      <x:c r="F18" s="20" t="n">
        <x:v>540000</x:v>
      </x:c>
      <x:c r="G18" s="20" t="n">
        <x:v>1500</x:v>
      </x:c>
      <x:c r="H18" s="20" t="n">
        <x:v>1500</x:v>
      </x:c>
      <x:c r="J18" s="18" t="str">
        <x:v>DT-C02</x:v>
      </x:c>
      <x:c r="K18" s="18" t="str">
        <x:v>EQUIPMENT_FAILURE</x:v>
      </x:c>
      <x:c r="L18" s="18" t="str">
        <x:v>Cycle équipement interrompu avant remise en service</x:v>
      </x:c>
      <x:c r="M18" s="18" t="str">
        <x:v>FALSE</x:v>
      </x:c>
      <x:c r="N18" s="20" t="n">
        <x:v>53</x:v>
      </x:c>
      <x:c r="O18" s="20" t="n">
        <x:v>10322</x:v>
      </x:c>
      <x:c r="P18" s="20" t="n">
        <x:v>194.75471698113208</x:v>
      </x:c>
      <x:c r="Q18" s="20" t="n">
        <x:v>353</x:v>
      </x:c>
    </x:row>
    <x:row r="19" ht="22" customHeight="1">
      <x:c r="A19" s="19" t="str">
        <x:v>DT-C02</x:v>
      </x:c>
      <x:c r="B19" s="19" t="str">
        <x:v>EQUIPMENT_FAILURE</x:v>
      </x:c>
      <x:c r="C19" s="19" t="str">
        <x:v>Cycle équipement interrompu avant remise en service</x:v>
      </x:c>
      <x:c r="D19" s="19" t="str">
        <x:v>FALSE</x:v>
      </x:c>
      <x:c r="E19" s="21" t="n">
        <x:v>53</x:v>
      </x:c>
      <x:c r="F19" s="21" t="n">
        <x:v>10322</x:v>
      </x:c>
      <x:c r="G19" s="21" t="n">
        <x:v>194.75471698113208</x:v>
      </x:c>
      <x:c r="H19" s="21" t="n">
        <x:v>353</x:v>
      </x:c>
      <x:c r="J19" s="19" t="str">
        <x:v>DT-C10</x:v>
      </x:c>
      <x:c r="K19" s="19" t="str">
        <x:v>TOOLING_ISSUE</x:v>
      </x:c>
      <x:c r="L19" s="19" t="str">
        <x:v>Interruption liée à l'état de l'outillage</x:v>
      </x:c>
      <x:c r="M19" s="19" t="str">
        <x:v>FALSE</x:v>
      </x:c>
      <x:c r="N19" s="21" t="n">
        <x:v>64</x:v>
      </x:c>
      <x:c r="O19" s="21" t="n">
        <x:v>8680</x:v>
      </x:c>
      <x:c r="P19" s="21" t="n">
        <x:v>135.625</x:v>
      </x:c>
      <x:c r="Q19" s="21" t="n">
        <x:v>240</x:v>
      </x:c>
    </x:row>
    <x:row r="20" ht="22" customHeight="1">
      <x:c r="A20" s="19" t="str">
        <x:v>DT-C10</x:v>
      </x:c>
      <x:c r="B20" s="19" t="str">
        <x:v>TOOLING_ISSUE</x:v>
      </x:c>
      <x:c r="C20" s="19" t="str">
        <x:v>Interruption liée à l'état de l'outillage</x:v>
      </x:c>
      <x:c r="D20" s="19" t="str">
        <x:v>FALSE</x:v>
      </x:c>
      <x:c r="E20" s="21" t="n">
        <x:v>64</x:v>
      </x:c>
      <x:c r="F20" s="21" t="n">
        <x:v>8680</x:v>
      </x:c>
      <x:c r="G20" s="21" t="n">
        <x:v>135.625</x:v>
      </x:c>
      <x:c r="H20" s="21" t="n">
        <x:v>240</x:v>
      </x:c>
      <x:c r="J20" s="19" t="str">
        <x:v>DT-C01</x:v>
      </x:c>
      <x:c r="K20" s="19" t="str">
        <x:v>EQUIPMENT_FAILURE</x:v>
      </x:c>
      <x:c r="L20" s="19" t="str">
        <x:v>Arrêt équipement après signal de fonctionnement anormal</x:v>
      </x:c>
      <x:c r="M20" s="19" t="str">
        <x:v>FALSE</x:v>
      </x:c>
      <x:c r="N20" s="21" t="n">
        <x:v>46</x:v>
      </x:c>
      <x:c r="O20" s="21" t="n">
        <x:v>8390</x:v>
      </x:c>
      <x:c r="P20" s="21" t="n">
        <x:v>182.3913043478261</x:v>
      </x:c>
      <x:c r="Q20" s="21" t="n">
        <x:v>337</x:v>
      </x:c>
    </x:row>
    <x:row r="21" ht="22" customHeight="1">
      <x:c r="A21" s="19" t="str">
        <x:v>DT-C01</x:v>
      </x:c>
      <x:c r="B21" s="19" t="str">
        <x:v>EQUIPMENT_FAILURE</x:v>
      </x:c>
      <x:c r="C21" s="19" t="str">
        <x:v>Arrêt équipement après signal de fonctionnement anormal</x:v>
      </x:c>
      <x:c r="D21" s="19" t="str">
        <x:v>FALSE</x:v>
      </x:c>
      <x:c r="E21" s="21" t="n">
        <x:v>46</x:v>
      </x:c>
      <x:c r="F21" s="21" t="n">
        <x:v>8390</x:v>
      </x:c>
      <x:c r="G21" s="21" t="n">
        <x:v>182.3913043478261</x:v>
      </x:c>
      <x:c r="H21" s="21" t="n">
        <x:v>337</x:v>
      </x:c>
      <x:c r="J21" s="19" t="str">
        <x:v>DT-C08</x:v>
      </x:c>
      <x:c r="K21" s="19" t="str">
        <x:v>SENSOR_FAULT</x:v>
      </x:c>
      <x:c r="L21" s="19" t="str">
        <x:v>Instabilité d'un signal de mesure</x:v>
      </x:c>
      <x:c r="M21" s="19" t="str">
        <x:v>FALSE</x:v>
      </x:c>
      <x:c r="N21" s="21" t="n">
        <x:v>45</x:v>
      </x:c>
      <x:c r="O21" s="21" t="n">
        <x:v>7583</x:v>
      </x:c>
      <x:c r="P21" s="21" t="n">
        <x:v>168.51111111111112</x:v>
      </x:c>
      <x:c r="Q21" s="21" t="n">
        <x:v>351</x:v>
      </x:c>
    </x:row>
    <x:row r="22" ht="22" customHeight="1">
      <x:c r="A22" s="19" t="str">
        <x:v>DT-C08</x:v>
      </x:c>
      <x:c r="B22" s="19" t="str">
        <x:v>SENSOR_FAULT</x:v>
      </x:c>
      <x:c r="C22" s="19" t="str">
        <x:v>Instabilité d'un signal de mesure</x:v>
      </x:c>
      <x:c r="D22" s="19" t="str">
        <x:v>FALSE</x:v>
      </x:c>
      <x:c r="E22" s="21" t="n">
        <x:v>45</x:v>
      </x:c>
      <x:c r="F22" s="21" t="n">
        <x:v>7583</x:v>
      </x:c>
      <x:c r="G22" s="21" t="n">
        <x:v>168.51111111111112</x:v>
      </x:c>
      <x:c r="H22" s="21" t="n">
        <x:v>351</x:v>
      </x:c>
      <x:c r="J22" s="19" t="str">
        <x:v>DT-C09</x:v>
      </x:c>
      <x:c r="K22" s="19" t="str">
        <x:v>TOOLING_ISSUE</x:v>
      </x:c>
      <x:c r="L22" s="19" t="str">
        <x:v>Vérification de l'alignement de l'outillage</x:v>
      </x:c>
      <x:c r="M22" s="19" t="str">
        <x:v>FALSE</x:v>
      </x:c>
      <x:c r="N22" s="21" t="n">
        <x:v>47</x:v>
      </x:c>
      <x:c r="O22" s="21" t="n">
        <x:v>6450</x:v>
      </x:c>
      <x:c r="P22" s="21" t="n">
        <x:v>137.2340425531915</x:v>
      </x:c>
      <x:c r="Q22" s="21" t="n">
        <x:v>234</x:v>
      </x:c>
    </x:row>
    <x:row r="23" ht="22" customHeight="1">
      <x:c r="A23" s="19" t="str">
        <x:v>DT-C09</x:v>
      </x:c>
      <x:c r="B23" s="19" t="str">
        <x:v>TOOLING_ISSUE</x:v>
      </x:c>
      <x:c r="C23" s="19" t="str">
        <x:v>Vérification de l'alignement de l'outillage</x:v>
      </x:c>
      <x:c r="D23" s="19" t="str">
        <x:v>FALSE</x:v>
      </x:c>
      <x:c r="E23" s="21" t="n">
        <x:v>47</x:v>
      </x:c>
      <x:c r="F23" s="21" t="n">
        <x:v>6450</x:v>
      </x:c>
      <x:c r="G23" s="21" t="n">
        <x:v>137.2340425531915</x:v>
      </x:c>
      <x:c r="H23" s="21" t="n">
        <x:v>234</x:v>
      </x:c>
      <x:c r="J23" s="19" t="str">
        <x:v>DT-C07</x:v>
      </x:c>
      <x:c r="K23" s="19" t="str">
        <x:v>SENSOR_FAULT</x:v>
      </x:c>
      <x:c r="L23" s="19" t="str">
        <x:v>Défaut temporaire du signal capteur</x:v>
      </x:c>
      <x:c r="M23" s="19" t="str">
        <x:v>FALSE</x:v>
      </x:c>
      <x:c r="N23" s="21" t="n">
        <x:v>38</x:v>
      </x:c>
      <x:c r="O23" s="21" t="n">
        <x:v>6316</x:v>
      </x:c>
      <x:c r="P23" s="21" t="n">
        <x:v>166.21052631578948</x:v>
      </x:c>
      <x:c r="Q23" s="21" t="n">
        <x:v>358</x:v>
      </x:c>
    </x:row>
    <x:row r="24" ht="22" customHeight="1">
      <x:c r="A24" s="19" t="str">
        <x:v>DT-C07</x:v>
      </x:c>
      <x:c r="B24" s="19" t="str">
        <x:v>SENSOR_FAULT</x:v>
      </x:c>
      <x:c r="C24" s="19" t="str">
        <x:v>Défaut temporaire du signal capteur</x:v>
      </x:c>
      <x:c r="D24" s="19" t="str">
        <x:v>FALSE</x:v>
      </x:c>
      <x:c r="E24" s="21" t="n">
        <x:v>38</x:v>
      </x:c>
      <x:c r="F24" s="21" t="n">
        <x:v>6316</x:v>
      </x:c>
      <x:c r="G24" s="21" t="n">
        <x:v>166.21052631578948</x:v>
      </x:c>
      <x:c r="H24" s="21" t="n">
        <x:v>358</x:v>
      </x:c>
      <x:c r="J24" s="19" t="str">
        <x:v>DT-C11</x:v>
      </x:c>
      <x:c r="K24" s="19" t="str">
        <x:v>QUALITY_HOLD</x:v>
      </x:c>
      <x:c r="L24" s="19" t="str">
        <x:v>Production suspendue pour vérification qualité</x:v>
      </x:c>
      <x:c r="M24" s="19" t="str">
        <x:v>FALSE</x:v>
      </x:c>
      <x:c r="N24" s="21" t="n">
        <x:v>24</x:v>
      </x:c>
      <x:c r="O24" s="21" t="n">
        <x:v>4562</x:v>
      </x:c>
      <x:c r="P24" s="21" t="n">
        <x:v>190.08333333333334</x:v>
      </x:c>
      <x:c r="Q24" s="21" t="n">
        <x:v>345</x:v>
      </x:c>
    </x:row>
    <x:row r="25" ht="22" customHeight="1">
      <x:c r="A25" s="19" t="str">
        <x:v>DT-C11</x:v>
      </x:c>
      <x:c r="B25" s="19" t="str">
        <x:v>QUALITY_HOLD</x:v>
      </x:c>
      <x:c r="C25" s="19" t="str">
        <x:v>Production suspendue pour vérification qualité</x:v>
      </x:c>
      <x:c r="D25" s="19" t="str">
        <x:v>FALSE</x:v>
      </x:c>
      <x:c r="E25" s="21" t="n">
        <x:v>24</x:v>
      </x:c>
      <x:c r="F25" s="21" t="n">
        <x:v>4562</x:v>
      </x:c>
      <x:c r="G25" s="21" t="n">
        <x:v>190.08333333333334</x:v>
      </x:c>
      <x:c r="H25" s="21" t="n">
        <x:v>345</x:v>
      </x:c>
      <x:c r="J25" s="19" t="str">
        <x:v>DT-C05</x:v>
      </x:c>
      <x:c r="K25" s="19" t="str">
        <x:v>ADJUSTMENT</x:v>
      </x:c>
      <x:c r="L25" s="19" t="str">
        <x:v>Correction d'un réglage de procédé</x:v>
      </x:c>
      <x:c r="M25" s="19" t="str">
        <x:v>FALSE</x:v>
      </x:c>
      <x:c r="N25" s="21" t="n">
        <x:v>36</x:v>
      </x:c>
      <x:c r="O25" s="21" t="n">
        <x:v>4307</x:v>
      </x:c>
      <x:c r="P25" s="21" t="n">
        <x:v>119.63888888888889</x:v>
      </x:c>
      <x:c r="Q25" s="21" t="n">
        <x:v>208</x:v>
      </x:c>
    </x:row>
    <x:row r="26" ht="22" customHeight="1">
      <x:c r="A26" s="19" t="str">
        <x:v>DT-C05</x:v>
      </x:c>
      <x:c r="B26" s="19" t="str">
        <x:v>ADJUSTMENT</x:v>
      </x:c>
      <x:c r="C26" s="19" t="str">
        <x:v>Correction d'un réglage de procédé</x:v>
      </x:c>
      <x:c r="D26" s="19" t="str">
        <x:v>FALSE</x:v>
      </x:c>
      <x:c r="E26" s="21" t="n">
        <x:v>36</x:v>
      </x:c>
      <x:c r="F26" s="21" t="n">
        <x:v>4307</x:v>
      </x:c>
      <x:c r="G26" s="21" t="n">
        <x:v>119.63888888888889</x:v>
      </x:c>
      <x:c r="H26" s="21" t="n">
        <x:v>208</x:v>
      </x:c>
      <x:c r="J26" s="19" t="str">
        <x:v>DT-C06</x:v>
      </x:c>
      <x:c r="K26" s="19" t="str">
        <x:v>ADJUSTMENT</x:v>
      </x:c>
      <x:c r="L26" s="19" t="str">
        <x:v>Ajustement d'un paramètre de programme</x:v>
      </x:c>
      <x:c r="M26" s="19" t="str">
        <x:v>FALSE</x:v>
      </x:c>
      <x:c r="N26" s="21" t="n">
        <x:v>36</x:v>
      </x:c>
      <x:c r="O26" s="21" t="n">
        <x:v>3948</x:v>
      </x:c>
      <x:c r="P26" s="21" t="n">
        <x:v>109.66666666666667</x:v>
      </x:c>
      <x:c r="Q26" s="21" t="n">
        <x:v>231</x:v>
      </x:c>
    </x:row>
    <x:row r="27" ht="22" customHeight="1">
      <x:c r="A27" s="19" t="str">
        <x:v>DT-C06</x:v>
      </x:c>
      <x:c r="B27" s="19" t="str">
        <x:v>ADJUSTMENT</x:v>
      </x:c>
      <x:c r="C27" s="19" t="str">
        <x:v>Ajustement d'un paramètre de programme</x:v>
      </x:c>
      <x:c r="D27" s="19" t="str">
        <x:v>FALSE</x:v>
      </x:c>
      <x:c r="E27" s="21" t="n">
        <x:v>36</x:v>
      </x:c>
      <x:c r="F27" s="21" t="n">
        <x:v>3948</x:v>
      </x:c>
      <x:c r="G27" s="21" t="n">
        <x:v>109.66666666666667</x:v>
      </x:c>
      <x:c r="H27" s="21" t="n">
        <x:v>231</x:v>
      </x:c>
      <x:c r="J27" s="19" t="str">
        <x:v>DT-C13</x:v>
      </x:c>
      <x:c r="K27" s="19" t="str">
        <x:v>MICRO_STOP</x:v>
      </x:c>
      <x:c r="L27" s="19" t="str">
        <x:v>Réinitialisation brève du poste</x:v>
      </x:c>
      <x:c r="M27" s="19" t="str">
        <x:v>FALSE</x:v>
      </x:c>
      <x:c r="N27" s="21" t="n">
        <x:v>66</x:v>
      </x:c>
      <x:c r="O27" s="21" t="n">
        <x:v>2982</x:v>
      </x:c>
      <x:c r="P27" s="21" t="n">
        <x:v>45.18181818181818</x:v>
      </x:c>
      <x:c r="Q27" s="21" t="n">
        <x:v>60</x:v>
      </x:c>
    </x:row>
    <x:row r="28" ht="22" customHeight="1">
      <x:c r="A28" s="19" t="str">
        <x:v>DT-C13</x:v>
      </x:c>
      <x:c r="B28" s="19" t="str">
        <x:v>MICRO_STOP</x:v>
      </x:c>
      <x:c r="C28" s="19" t="str">
        <x:v>Réinitialisation brève du poste</x:v>
      </x:c>
      <x:c r="D28" s="19" t="str">
        <x:v>FALSE</x:v>
      </x:c>
      <x:c r="E28" s="21" t="n">
        <x:v>66</x:v>
      </x:c>
      <x:c r="F28" s="21" t="n">
        <x:v>2982</x:v>
      </x:c>
      <x:c r="G28" s="21" t="n">
        <x:v>45.18181818181818</x:v>
      </x:c>
      <x:c r="H28" s="21" t="n">
        <x:v>60</x:v>
      </x:c>
      <x:c r="J28" s="19" t="str">
        <x:v>DT-C14</x:v>
      </x:c>
      <x:c r="K28" s="19" t="str">
        <x:v>MICRO_STOP</x:v>
      </x:c>
      <x:c r="L28" s="19" t="str">
        <x:v>Interruption courte de manipulation</x:v>
      </x:c>
      <x:c r="M28" s="19" t="str">
        <x:v>FALSE</x:v>
      </x:c>
      <x:c r="N28" s="21" t="n">
        <x:v>64</x:v>
      </x:c>
      <x:c r="O28" s="21" t="n">
        <x:v>2800</x:v>
      </x:c>
      <x:c r="P28" s="21" t="n">
        <x:v>43.75</x:v>
      </x:c>
      <x:c r="Q28" s="21" t="n">
        <x:v>60</x:v>
      </x:c>
    </x:row>
    <x:row r="29" ht="22" customHeight="1">
      <x:c r="A29" s="19" t="str">
        <x:v>DT-C14</x:v>
      </x:c>
      <x:c r="B29" s="19" t="str">
        <x:v>MICRO_STOP</x:v>
      </x:c>
      <x:c r="C29" s="19" t="str">
        <x:v>Interruption courte de manipulation</x:v>
      </x:c>
      <x:c r="D29" s="19" t="str">
        <x:v>FALSE</x:v>
      </x:c>
      <x:c r="E29" s="21" t="n">
        <x:v>64</x:v>
      </x:c>
      <x:c r="F29" s="21" t="n">
        <x:v>2800</x:v>
      </x:c>
      <x:c r="G29" s="21" t="n">
        <x:v>43.75</x:v>
      </x:c>
      <x:c r="H29" s="21" t="n">
        <x:v>60</x:v>
      </x:c>
      <x:c r="J29" s="19" t="str">
        <x:v>DT-C12</x:v>
      </x:c>
      <x:c r="K29" s="19" t="str">
        <x:v>QUALITY_HOLD</x:v>
      </x:c>
      <x:c r="L29" s="19" t="str">
        <x:v>Attente d'une décision de premier niveau</x:v>
      </x:c>
      <x:c r="M29" s="19" t="str">
        <x:v>FALSE</x:v>
      </x:c>
      <x:c r="N29" s="21" t="n">
        <x:v>24</x:v>
      </x:c>
      <x:c r="O29" s="21" t="n">
        <x:v>2754</x:v>
      </x:c>
      <x:c r="P29" s="21" t="n">
        <x:v>114.75</x:v>
      </x:c>
      <x:c r="Q29" s="21" t="n">
        <x:v>288</x:v>
      </x:c>
    </x:row>
    <x:row r="30" ht="22" customHeight="1">
      <x:c r="A30" s="19" t="str">
        <x:v>DT-C12</x:v>
      </x:c>
      <x:c r="B30" s="19" t="str">
        <x:v>QUALITY_HOLD</x:v>
      </x:c>
      <x:c r="C30" s="19" t="str">
        <x:v>Attente d'une décision de premier niveau</x:v>
      </x:c>
      <x:c r="D30" s="19" t="str">
        <x:v>FALSE</x:v>
      </x:c>
      <x:c r="E30" s="21" t="n">
        <x:v>24</x:v>
      </x:c>
      <x:c r="F30" s="21" t="n">
        <x:v>2754</x:v>
      </x:c>
      <x:c r="G30" s="21" t="n">
        <x:v>114.75</x:v>
      </x:c>
      <x:c r="H30" s="21" t="n">
        <x:v>288</x:v>
      </x:c>
      <x:c r="J30" s="19" t="str">
        <x:v>DT-C03</x:v>
      </x:c>
      <x:c r="K30" s="19" t="str">
        <x:v>MATERIAL_SHORTAGE</x:v>
      </x:c>
      <x:c r="L30" s="19" t="str">
        <x:v>Attente de réapprovisionnement du kit</x:v>
      </x:c>
      <x:c r="M30" s="19" t="str">
        <x:v>FALSE</x:v>
      </x:c>
      <x:c r="N30" s="21" t="n">
        <x:v>26</x:v>
      </x:c>
      <x:c r="O30" s="21" t="n">
        <x:v>2587</x:v>
      </x:c>
      <x:c r="P30" s="21" t="n">
        <x:v>99.5</x:v>
      </x:c>
      <x:c r="Q30" s="21" t="n">
        <x:v>174</x:v>
      </x:c>
    </x:row>
    <x:row r="31" ht="22" customHeight="1">
      <x:c r="A31" s="19" t="str">
        <x:v>DT-C03</x:v>
      </x:c>
      <x:c r="B31" s="19" t="str">
        <x:v>MATERIAL_SHORTAGE</x:v>
      </x:c>
      <x:c r="C31" s="19" t="str">
        <x:v>Attente de réapprovisionnement du kit</x:v>
      </x:c>
      <x:c r="D31" s="19" t="str">
        <x:v>FALSE</x:v>
      </x:c>
      <x:c r="E31" s="21" t="n">
        <x:v>26</x:v>
      </x:c>
      <x:c r="F31" s="21" t="n">
        <x:v>2587</x:v>
      </x:c>
      <x:c r="G31" s="21" t="n">
        <x:v>99.5</x:v>
      </x:c>
      <x:c r="H31" s="21" t="n">
        <x:v>174</x:v>
      </x:c>
      <x:c r="J31" s="19" t="str">
        <x:v>DT-C04</x:v>
      </x:c>
      <x:c r="K31" s="19" t="str">
        <x:v>MATERIAL_SHORTAGE</x:v>
      </x:c>
      <x:c r="L31" s="19" t="str">
        <x:v>Composant temporairement indisponible au poste</x:v>
      </x:c>
      <x:c r="M31" s="19" t="str">
        <x:v>FALSE</x:v>
      </x:c>
      <x:c r="N31" s="21" t="n">
        <x:v>20</x:v>
      </x:c>
      <x:c r="O31" s="21" t="n">
        <x:v>2345</x:v>
      </x:c>
      <x:c r="P31" s="21" t="n">
        <x:v>117.25</x:v>
      </x:c>
      <x:c r="Q31" s="21" t="n">
        <x:v>175</x:v>
      </x:c>
    </x:row>
    <x:row r="32" ht="22" customHeight="1">
      <x:c r="A32" s="19" t="str">
        <x:v>DT-C04</x:v>
      </x:c>
      <x:c r="B32" s="19" t="str">
        <x:v>MATERIAL_SHORTAGE</x:v>
      </x:c>
      <x:c r="C32" s="19" t="str">
        <x:v>Composant temporairement indisponible au poste</x:v>
      </x:c>
      <x:c r="D32" s="19" t="str">
        <x:v>FALSE</x:v>
      </x:c>
      <x:c r="E32" s="21" t="n">
        <x:v>20</x:v>
      </x:c>
      <x:c r="F32" s="21" t="n">
        <x:v>2345</x:v>
      </x:c>
      <x:c r="G32" s="21" t="n">
        <x:v>117.25</x:v>
      </x:c>
      <x:c r="H32" s="21" t="n">
        <x:v>175</x:v>
      </x:c>
    </x:row>
    <x:row r="33" ht="22" customHeight="1"/>
    <x:row r="34" ht="22" customHeight="1"/>
    <x:row r="35" ht="22" customHeight="1">
      <x:c r="A35" s="9" t="str">
        <x:v>Catégorie</x:v>
      </x:c>
      <x:c r="B35" s="9" t="str">
        <x:v>Libellé</x:v>
      </x:c>
      <x:c r="C35" s="9" t="str">
        <x:v>Fréquence</x:v>
      </x:c>
      <x:c r="D35" s="9" t="str">
        <x:v>Durée totale (s)</x:v>
      </x:c>
      <x:c r="E35" s="9" t="str">
        <x:v>Durée moyenne (s)</x:v>
      </x:c>
      <x:c r="F35" s="9" t="str">
        <x:v>Durée max (s)</x:v>
      </x:c>
      <x:c r="G35" s="9" t="str">
        <x:v>Rang</x:v>
      </x:c>
    </x:row>
    <x:row r="36" ht="22" customHeight="1">
      <x:c r="A36" s="18" t="str">
        <x:v>EQUIPMENT_FAILURE</x:v>
      </x:c>
      <x:c r="B36" s="18" t="str">
        <x:v>Panne équipement</x:v>
      </x:c>
      <x:c r="C36" s="20" t="n">
        <x:v>99</x:v>
      </x:c>
      <x:c r="D36" s="20" t="n">
        <x:v>18712</x:v>
      </x:c>
      <x:c r="E36" s="20" t="n">
        <x:v>189.010101010101</x:v>
      </x:c>
      <x:c r="F36" s="20" t="n">
        <x:v>353</x:v>
      </x:c>
      <x:c r="G36" s="20" t="n">
        <x:v>1</x:v>
      </x:c>
    </x:row>
    <x:row r="37" ht="22" customHeight="1">
      <x:c r="A37" s="19" t="str">
        <x:v>TOOLING_ISSUE</x:v>
      </x:c>
      <x:c r="B37" s="19" t="str">
        <x:v>Outillage</x:v>
      </x:c>
      <x:c r="C37" s="21" t="n">
        <x:v>111</x:v>
      </x:c>
      <x:c r="D37" s="21" t="n">
        <x:v>15130</x:v>
      </x:c>
      <x:c r="E37" s="21" t="n">
        <x:v>136.3063063063063</x:v>
      </x:c>
      <x:c r="F37" s="21" t="n">
        <x:v>240</x:v>
      </x:c>
      <x:c r="G37" s="21" t="n">
        <x:v>2</x:v>
      </x:c>
    </x:row>
    <x:row r="38" ht="22" customHeight="1">
      <x:c r="A38" s="19" t="str">
        <x:v>SENSOR_FAULT</x:v>
      </x:c>
      <x:c r="B38" s="19" t="str">
        <x:v>Capteurs</x:v>
      </x:c>
      <x:c r="C38" s="21" t="n">
        <x:v>83</x:v>
      </x:c>
      <x:c r="D38" s="21" t="n">
        <x:v>13899</x:v>
      </x:c>
      <x:c r="E38" s="21" t="n">
        <x:v>167.4578313253012</x:v>
      </x:c>
      <x:c r="F38" s="21" t="n">
        <x:v>358</x:v>
      </x:c>
      <x:c r="G38" s="21" t="n">
        <x:v>3</x:v>
      </x:c>
    </x:row>
    <x:row r="39" ht="22" customHeight="1">
      <x:c r="A39" s="19" t="str">
        <x:v>ADJUSTMENT</x:v>
      </x:c>
      <x:c r="B39" s="19" t="str">
        <x:v>Réglage</x:v>
      </x:c>
      <x:c r="C39" s="21" t="n">
        <x:v>72</x:v>
      </x:c>
      <x:c r="D39" s="21" t="n">
        <x:v>8255</x:v>
      </x:c>
      <x:c r="E39" s="21" t="n">
        <x:v>114.65277777777777</x:v>
      </x:c>
      <x:c r="F39" s="21" t="n">
        <x:v>231</x:v>
      </x:c>
      <x:c r="G39" s="21" t="n">
        <x:v>4</x:v>
      </x:c>
    </x:row>
    <x:row r="40" ht="22" customHeight="1">
      <x:c r="A40" s="19" t="str">
        <x:v>QUALITY_HOLD</x:v>
      </x:c>
      <x:c r="B40" s="19" t="str">
        <x:v>Attente qualité</x:v>
      </x:c>
      <x:c r="C40" s="21" t="n">
        <x:v>48</x:v>
      </x:c>
      <x:c r="D40" s="21" t="n">
        <x:v>7316</x:v>
      </x:c>
      <x:c r="E40" s="21" t="n">
        <x:v>152.41666666666666</x:v>
      </x:c>
      <x:c r="F40" s="21" t="n">
        <x:v>345</x:v>
      </x:c>
      <x:c r="G40" s="21" t="n">
        <x:v>5</x:v>
      </x:c>
    </x:row>
    <x:row r="41" ht="22" customHeight="1">
      <x:c r="A41" s="19" t="str">
        <x:v>MICRO_STOP</x:v>
      </x:c>
      <x:c r="B41" s="19" t="str">
        <x:v>Micro-arrêts</x:v>
      </x:c>
      <x:c r="C41" s="21" t="n">
        <x:v>130</x:v>
      </x:c>
      <x:c r="D41" s="21" t="n">
        <x:v>5782</x:v>
      </x:c>
      <x:c r="E41" s="21" t="n">
        <x:v>44.47692307692308</x:v>
      </x:c>
      <x:c r="F41" s="21" t="n">
        <x:v>60</x:v>
      </x:c>
      <x:c r="G41" s="21" t="n">
        <x:v>6</x:v>
      </x:c>
    </x:row>
    <x:row r="42" ht="22" customHeight="1">
      <x:c r="A42" s="19" t="str">
        <x:v>MATERIAL_SHORTAGE</x:v>
      </x:c>
      <x:c r="B42" s="19" t="str">
        <x:v>Manque matière</x:v>
      </x:c>
      <x:c r="C42" s="21" t="n">
        <x:v>46</x:v>
      </x:c>
      <x:c r="D42" s="21" t="n">
        <x:v>4932</x:v>
      </x:c>
      <x:c r="E42" s="21" t="n">
        <x:v>107.21739130434783</x:v>
      </x:c>
      <x:c r="F42" s="21" t="n">
        <x:v>175</x:v>
      </x:c>
      <x:c r="G42" s="21" t="n">
        <x:v>7</x:v>
      </x:c>
    </x:row>
    <x:row r="43" ht="22" customHeight="1"/>
    <x:row r="44" ht="22" customHeight="1"/>
    <x:row r="45" ht="22" customHeight="1"/>
    <x:row r="46" ht="48" customHeight="1">
      <x:c r="A46" s="9" t="str">
        <x:v>Poste</x:v>
      </x:c>
      <x:c r="B46" s="9" t="str">
        <x:v>Fréquence totale</x:v>
      </x:c>
      <x:c r="C46" s="9" t="str">
        <x:v>Durée totale (s)</x:v>
      </x:c>
      <x:c r="D46" s="9" t="str">
        <x:v>Moyenne totale (s)</x:v>
      </x:c>
      <x:c r="E46" s="9" t="str">
        <x:v>Fréquence non planifiée</x:v>
      </x:c>
      <x:c r="F46" s="9" t="str">
        <x:v>Durée non planifiée (s)</x:v>
      </x:c>
      <x:c r="G46" s="9" t="str">
        <x:v>Moyenne non planifiée (s)</x:v>
      </x:c>
      <x:c r="H46" s="9" t="str">
        <x:v>Rang non planifié</x:v>
      </x:c>
      <x:c r="J46" s="9" t="str">
        <x:v>Équipe</x:v>
      </x:c>
      <x:c r="K46" s="9" t="str">
        <x:v>Fréquence totale</x:v>
      </x:c>
      <x:c r="L46" s="9" t="str">
        <x:v>Durée totale (s)</x:v>
      </x:c>
      <x:c r="M46" s="9" t="str">
        <x:v>Moyenne totale (s)</x:v>
      </x:c>
      <x:c r="N46" s="9" t="str">
        <x:v>Fréquence non planifiée</x:v>
      </x:c>
      <x:c r="O46" s="9" t="str">
        <x:v>Durée non planifiée (s)</x:v>
      </x:c>
      <x:c r="P46" s="9" t="str">
        <x:v>Moyenne non planifiée (s)</x:v>
      </x:c>
      <x:c r="Q46" s="9" t="str">
        <x:v>Rang non planifié</x:v>
      </x:c>
    </x:row>
    <x:row r="47" ht="22" customHeight="1">
      <x:c r="A47" s="18" t="str">
        <x:v>ST10</x:v>
      </x:c>
      <x:c r="B47" s="20" t="n">
        <x:v>123</x:v>
      </x:c>
      <x:c r="C47" s="20" t="n">
        <x:v>92106</x:v>
      </x:c>
      <x:c r="D47" s="20" t="n">
        <x:v>748.829268292683</x:v>
      </x:c>
      <x:c r="E47" s="20" t="n">
        <x:v>64</x:v>
      </x:c>
      <x:c r="F47" s="20" t="n">
        <x:v>3606</x:v>
      </x:c>
      <x:c r="G47" s="20" t="n">
        <x:v>56.34375</x:v>
      </x:c>
      <x:c r="H47" s="20" t="n">
        <x:v>6</x:v>
      </x:c>
      <x:c r="J47" s="18" t="str">
        <x:v>S1</x:v>
      </x:c>
      <x:c r="K47" s="20" t="n">
        <x:v>500</x:v>
      </x:c>
      <x:c r="L47" s="20" t="n">
        <x:v>319421</x:v>
      </x:c>
      <x:c r="M47" s="20" t="n">
        <x:v>638.842</x:v>
      </x:c>
      <x:c r="N47" s="20" t="n">
        <x:v>313</x:v>
      </x:c>
      <x:c r="O47" s="20" t="n">
        <x:v>38921</x:v>
      </x:c>
      <x:c r="P47" s="20" t="n">
        <x:v>124.34824281150159</x:v>
      </x:c>
      <x:c r="Q47" s="20" t="n">
        <x:v>1</x:v>
      </x:c>
    </x:row>
    <x:row r="48" ht="22" customHeight="1">
      <x:c r="A48" s="19" t="str">
        <x:v>ST20</x:v>
      </x:c>
      <x:c r="B48" s="21" t="n">
        <x:v>150</x:v>
      </x:c>
      <x:c r="C48" s="21" t="n">
        <x:v>98490</x:v>
      </x:c>
      <x:c r="D48" s="21" t="n">
        <x:v>656.6</x:v>
      </x:c>
      <x:c r="E48" s="21" t="n">
        <x:v>91</x:v>
      </x:c>
      <x:c r="F48" s="21" t="n">
        <x:v>9990</x:v>
      </x:c>
      <x:c r="G48" s="21" t="n">
        <x:v>109.78021978021978</x:v>
      </x:c>
      <x:c r="H48" s="21" t="n">
        <x:v>3</x:v>
      </x:c>
      <x:c r="J48" s="19" t="str">
        <x:v>S2</x:v>
      </x:c>
      <x:c r="K48" s="21" t="n">
        <x:v>449</x:v>
      </x:c>
      <x:c r="L48" s="21" t="n">
        <x:v>294605</x:v>
      </x:c>
      <x:c r="M48" s="21" t="n">
        <x:v>656.1358574610244</x:v>
      </x:c>
      <x:c r="N48" s="21" t="n">
        <x:v>276</x:v>
      </x:c>
      <x:c r="O48" s="21" t="n">
        <x:v>35105</x:v>
      </x:c>
      <x:c r="P48" s="21" t="n">
        <x:v>127.19202898550725</x:v>
      </x:c>
      <x:c r="Q48" s="21" t="n">
        <x:v>2</x:v>
      </x:c>
    </x:row>
    <x:row r="49" ht="22" customHeight="1">
      <x:c r="A49" s="19" t="str">
        <x:v>ST30</x:v>
      </x:c>
      <x:c r="B49" s="21" t="n">
        <x:v>177</x:v>
      </x:c>
      <x:c r="C49" s="21" t="n">
        <x:v>99160</x:v>
      </x:c>
      <x:c r="D49" s="21" t="n">
        <x:v>560.2259887005649</x:v>
      </x:c>
      <x:c r="E49" s="21" t="n">
        <x:v>123</x:v>
      </x:c>
      <x:c r="F49" s="21" t="n">
        <x:v>18160</x:v>
      </x:c>
      <x:c r="G49" s="21" t="n">
        <x:v>147.64227642276424</x:v>
      </x:c>
      <x:c r="H49" s="21" t="n">
        <x:v>2</x:v>
      </x:c>
    </x:row>
    <x:row r="50" ht="22" customHeight="1">
      <x:c r="A50" s="19" t="str">
        <x:v>ST40</x:v>
      </x:c>
      <x:c r="B50" s="21" t="n">
        <x:v>141</x:v>
      </x:c>
      <x:c r="C50" s="21" t="n">
        <x:v>90323</x:v>
      </x:c>
      <x:c r="D50" s="21" t="n">
        <x:v>640.5886524822695</x:v>
      </x:c>
      <x:c r="E50" s="21" t="n">
        <x:v>87</x:v>
      </x:c>
      <x:c r="F50" s="21" t="n">
        <x:v>9323</x:v>
      </x:c>
      <x:c r="G50" s="21" t="n">
        <x:v>107.16091954022988</x:v>
      </x:c>
      <x:c r="H50" s="21" t="n">
        <x:v>4</x:v>
      </x:c>
    </x:row>
    <x:row r="51" ht="22" customHeight="1">
      <x:c r="A51" s="19" t="str">
        <x:v>ST50</x:v>
      </x:c>
      <x:c r="B51" s="21" t="n">
        <x:v>174</x:v>
      </x:c>
      <x:c r="C51" s="21" t="n">
        <x:v>93535</x:v>
      </x:c>
      <x:c r="D51" s="21" t="n">
        <x:v>537.5574712643678</x:v>
      </x:c>
      <x:c r="E51" s="21" t="n">
        <x:v>129</x:v>
      </x:c>
      <x:c r="F51" s="21" t="n">
        <x:v>26035</x:v>
      </x:c>
      <x:c r="G51" s="21" t="n">
        <x:v>201.8217054263566</x:v>
      </x:c>
      <x:c r="H51" s="21" t="n">
        <x:v>1</x:v>
      </x:c>
    </x:row>
    <x:row r="52" ht="22" customHeight="1">
      <x:c r="A52" s="19" t="str">
        <x:v>ST60</x:v>
      </x:c>
      <x:c r="B52" s="21" t="n">
        <x:v>109</x:v>
      </x:c>
      <x:c r="C52" s="21" t="n">
        <x:v>72728</x:v>
      </x:c>
      <x:c r="D52" s="21" t="n">
        <x:v>667.2293577981651</x:v>
      </x:c>
      <x:c r="E52" s="21" t="n">
        <x:v>64</x:v>
      </x:c>
      <x:c r="F52" s="21" t="n">
        <x:v>5228</x:v>
      </x:c>
      <x:c r="G52" s="21" t="n">
        <x:v>81.6875</x:v>
      </x:c>
      <x:c r="H52" s="21" t="n">
        <x:v>5</x:v>
      </x:c>
    </x:row>
    <x:row r="53" ht="22" customHeight="1">
      <x:c r="A53" s="19" t="str">
        <x:v>ST70</x:v>
      </x:c>
      <x:c r="B53" s="21" t="n">
        <x:v>75</x:v>
      </x:c>
      <x:c r="C53" s="21" t="n">
        <x:v>67684</x:v>
      </x:c>
      <x:c r="D53" s="21" t="n">
        <x:v>902.4533333333334</x:v>
      </x:c>
      <x:c r="E53" s="21" t="n">
        <x:v>31</x:v>
      </x:c>
      <x:c r="F53" s="21" t="n">
        <x:v>1684</x:v>
      </x:c>
      <x:c r="G53" s="21" t="n">
        <x:v>54.32258064516129</x:v>
      </x:c>
      <x:c r="H53" s="21" t="n">
        <x:v>7</x:v>
      </x:c>
    </x:row>
    <x:row r="54" ht="22" customHeight="1"/>
    <x:row r="55" ht="22" customHeight="1"/>
    <x:row r="56" ht="22" customHeight="1"/>
    <x:row r="57" ht="44" customHeight="1">
      <x:c r="A57" s="9" t="str">
        <x:v>Date</x:v>
      </x:c>
      <x:c r="B57" s="9" t="str">
        <x:v>Événements</x:v>
      </x:c>
      <x:c r="C57" s="9" t="str">
        <x:v>Durée totale (s)</x:v>
      </x:c>
      <x:c r="D57" s="9" t="str">
        <x:v>Durée moyenne (s)</x:v>
      </x:c>
      <x:c r="E57" s="9" t="str">
        <x:v>Événements planifiés</x:v>
      </x:c>
      <x:c r="F57" s="9" t="str">
        <x:v>Durée planifiée (s)</x:v>
      </x:c>
      <x:c r="G57" s="9" t="str">
        <x:v>Événements non planifiés</x:v>
      </x:c>
      <x:c r="H57" s="9" t="str">
        <x:v>Durée non planifiée (s)</x:v>
      </x:c>
      <x:c r="J57" s="9" t="str">
        <x:v>Fichier</x:v>
      </x:c>
      <x:c r="K57" s="9" t="str">
        <x:v>Statut</x:v>
      </x:c>
      <x:c r="L57" s="9" t="str">
        <x:v>SHA-256</x:v>
      </x:c>
      <x:c r="M57" s="9" t="str">
        <x:v>Rôle</x:v>
      </x:c>
    </x:row>
    <x:row r="58" ht="22" customHeight="1">
      <x:c r="A58" s="18" t="str">
        <x:v>2027-01-11</x:v>
      </x:c>
      <x:c r="B58" s="20" t="n">
        <x:v>42</x:v>
      </x:c>
      <x:c r="C58" s="20" t="n">
        <x:v>20828</x:v>
      </x:c>
      <x:c r="D58" s="20" t="n">
        <x:v>495.9047619047619</x:v>
      </x:c>
      <x:c r="E58" s="20" t="n">
        <x:v>11</x:v>
      </x:c>
      <x:c r="F58" s="20" t="n">
        <x:v>16500</x:v>
      </x:c>
      <x:c r="G58" s="20" t="n">
        <x:v>31</x:v>
      </x:c>
      <x:c r="H58" s="20" t="n">
        <x:v>4328</x:v>
      </x:c>
      <x:c r="J58" s="12" t="str">
        <x:v>downtime.csv</x:v>
      </x:c>
      <x:c r="K58" s="22" t="str">
        <x:v>PASS</x:v>
      </x:c>
      <x:c r="L58" s="12" t="str">
        <x:v>9db00b36a1ee0bbf7d3703f0f8ef48de4c5b24b77bbee6f20f760921d30ece23</x:v>
      </x:c>
      <x:c r="M58" s="12" t="str">
        <x:v>949 événements OEE analysés</x:v>
      </x:c>
    </x:row>
    <x:row r="59" ht="22" customHeight="1">
      <x:c r="A59" s="19" t="str">
        <x:v>2027-01-12</x:v>
      </x:c>
      <x:c r="B59" s="21" t="n">
        <x:v>45</x:v>
      </x:c>
      <x:c r="C59" s="21" t="n">
        <x:v>31626</x:v>
      </x:c>
      <x:c r="D59" s="21" t="n">
        <x:v>702.8</x:v>
      </x:c>
      <x:c r="E59" s="21" t="n">
        <x:v>19</x:v>
      </x:c>
      <x:c r="F59" s="21" t="n">
        <x:v>28500</x:v>
      </x:c>
      <x:c r="G59" s="21" t="n">
        <x:v>26</x:v>
      </x:c>
      <x:c r="H59" s="21" t="n">
        <x:v>3126</x:v>
      </x:c>
      <x:c r="J59" s="13" t="str">
        <x:v>validation_summary.json</x:v>
      </x:c>
      <x:c r="K59" s="23" t="str">
        <x:v>PASS</x:v>
      </x:c>
      <x:c r="L59" s="13" t="str">
        <x:v>Voir rapport J06</x:v>
      </x:c>
      <x:c r="M59" s="13" t="str">
        <x:v>39 contrôles validés</x:v>
      </x:c>
    </x:row>
    <x:row r="60" ht="22" customHeight="1">
      <x:c r="A60" s="19" t="str">
        <x:v>2027-01-13</x:v>
      </x:c>
      <x:c r="B60" s="21" t="n">
        <x:v>49</x:v>
      </x:c>
      <x:c r="C60" s="21" t="n">
        <x:v>31341</x:v>
      </x:c>
      <x:c r="D60" s="21" t="n">
        <x:v>639.6122448979592</x:v>
      </x:c>
      <x:c r="E60" s="21" t="n">
        <x:v>18</x:v>
      </x:c>
      <x:c r="F60" s="21" t="n">
        <x:v>27000</x:v>
      </x:c>
      <x:c r="G60" s="21" t="n">
        <x:v>31</x:v>
      </x:c>
      <x:c r="H60" s="21" t="n">
        <x:v>4341</x:v>
      </x:c>
    </x:row>
    <x:row r="61" ht="22" customHeight="1">
      <x:c r="A61" s="19" t="str">
        <x:v>2027-01-14</x:v>
      </x:c>
      <x:c r="B61" s="21" t="n">
        <x:v>40</x:v>
      </x:c>
      <x:c r="C61" s="21" t="n">
        <x:v>29622</x:v>
      </x:c>
      <x:c r="D61" s="21" t="n">
        <x:v>740.55</x:v>
      </x:c>
      <x:c r="E61" s="21" t="n">
        <x:v>18</x:v>
      </x:c>
      <x:c r="F61" s="21" t="n">
        <x:v>27000</x:v>
      </x:c>
      <x:c r="G61" s="21" t="n">
        <x:v>22</x:v>
      </x:c>
      <x:c r="H61" s="21" t="n">
        <x:v>2622</x:v>
      </x:c>
    </x:row>
    <x:row r="62" ht="22" customHeight="1">
      <x:c r="A62" s="19" t="str">
        <x:v>2027-01-15</x:v>
      </x:c>
      <x:c r="B62" s="21" t="n">
        <x:v>47</x:v>
      </x:c>
      <x:c r="C62" s="21" t="n">
        <x:v>30891</x:v>
      </x:c>
      <x:c r="D62" s="21" t="n">
        <x:v>657.2553191489362</x:v>
      </x:c>
      <x:c r="E62" s="21" t="n">
        <x:v>18</x:v>
      </x:c>
      <x:c r="F62" s="21" t="n">
        <x:v>27000</x:v>
      </x:c>
      <x:c r="G62" s="21" t="n">
        <x:v>29</x:v>
      </x:c>
      <x:c r="H62" s="21" t="n">
        <x:v>3891</x:v>
      </x:c>
      <x:c r="J62" s="9" t="str">
        <x:v>Convention</x:v>
      </x:c>
      <x:c r="K62" s="9" t="str">
        <x:v>Choix</x:v>
      </x:c>
      <x:c r="L62" s="9" t="str">
        <x:v>Raison</x:v>
      </x:c>
      <x:c r="M62" s="9" t="str">
        <x:v>Limite</x:v>
      </x:c>
    </x:row>
    <x:row r="63" ht="42" customHeight="1">
      <x:c r="A63" s="19" t="str">
        <x:v>2027-01-18</x:v>
      </x:c>
      <x:c r="B63" s="21" t="n">
        <x:v>48</x:v>
      </x:c>
      <x:c r="C63" s="21" t="n">
        <x:v>29290</x:v>
      </x:c>
      <x:c r="D63" s="21" t="n">
        <x:v>610.2083333333334</x:v>
      </x:c>
      <x:c r="E63" s="21" t="n">
        <x:v>17</x:v>
      </x:c>
      <x:c r="F63" s="21" t="n">
        <x:v>25500</x:v>
      </x:c>
      <x:c r="G63" s="21" t="n">
        <x:v>31</x:v>
      </x:c>
      <x:c r="H63" s="21" t="n">
        <x:v>3790</x:v>
      </x:c>
      <x:c r="J63" s="24" t="str">
        <x:v>Périmètre total</x:v>
      </x:c>
      <x:c r="K63" s="24" t="str">
        <x:v>Tous les arrêts OEE</x:v>
      </x:c>
      <x:c r="L63" s="24" t="str">
        <x:v>Réconciliation avec le Jour 9</x:v>
      </x:c>
      <x:c r="M63" s="24" t="str">
        <x:v>Inclut les changements planifiés</x:v>
      </x:c>
    </x:row>
    <x:row r="64" ht="42" customHeight="1">
      <x:c r="A64" s="19" t="str">
        <x:v>2027-01-19</x:v>
      </x:c>
      <x:c r="B64" s="21" t="n">
        <x:v>54</x:v>
      </x:c>
      <x:c r="C64" s="21" t="n">
        <x:v>33570</x:v>
      </x:c>
      <x:c r="D64" s="21" t="n">
        <x:v>621.6666666666666</x:v>
      </x:c>
      <x:c r="E64" s="21" t="n">
        <x:v>20</x:v>
      </x:c>
      <x:c r="F64" s="21" t="n">
        <x:v>30000</x:v>
      </x:c>
      <x:c r="G64" s="21" t="n">
        <x:v>34</x:v>
      </x:c>
      <x:c r="H64" s="21" t="n">
        <x:v>3570</x:v>
      </x:c>
      <x:c r="J64" s="25" t="str">
        <x:v>Priorité corrective</x:v>
      </x:c>
      <x:c r="K64" s="25" t="str">
        <x:v>Arrêts non planifiés</x:v>
      </x:c>
      <x:c r="L64" s="25" t="str">
        <x:v>Évite que les changements masquent les causes techniques</x:v>
      </x:c>
      <x:c r="M64" s="25" t="str">
        <x:v>Ne remplace pas l'analyse causale</x:v>
      </x:c>
    </x:row>
    <x:row r="65" ht="42" customHeight="1">
      <x:c r="A65" s="19" t="str">
        <x:v>2027-01-20</x:v>
      </x:c>
      <x:c r="B65" s="21" t="n">
        <x:v>55</x:v>
      </x:c>
      <x:c r="C65" s="21" t="n">
        <x:v>31887</x:v>
      </x:c>
      <x:c r="D65" s="21" t="n">
        <x:v>579.7636363636364</x:v>
      </x:c>
      <x:c r="E65" s="21" t="n">
        <x:v>18</x:v>
      </x:c>
      <x:c r="F65" s="21" t="n">
        <x:v>27000</x:v>
      </x:c>
      <x:c r="G65" s="21" t="n">
        <x:v>37</x:v>
      </x:c>
      <x:c r="H65" s="21" t="n">
        <x:v>4887</x:v>
      </x:c>
      <x:c r="J65" s="25" t="str">
        <x:v>Base Pareto</x:v>
      </x:c>
      <x:c r="K65" s="25" t="str">
        <x:v>Durée totale décroissante</x:v>
      </x:c>
      <x:c r="L65" s="25" t="str">
        <x:v>Priorise le temps perdu</x:v>
      </x:c>
      <x:c r="M65" s="25" t="str">
        <x:v>La fréquence reste visible séparément</x:v>
      </x:c>
    </x:row>
    <x:row r="66" ht="42" customHeight="1">
      <x:c r="A66" s="19" t="str">
        <x:v>2027-01-21</x:v>
      </x:c>
      <x:c r="B66" s="21" t="n">
        <x:v>46</x:v>
      </x:c>
      <x:c r="C66" s="21" t="n">
        <x:v>30582</x:v>
      </x:c>
      <x:c r="D66" s="21" t="n">
        <x:v>664.8260869565217</x:v>
      </x:c>
      <x:c r="E66" s="21" t="n">
        <x:v>18</x:v>
      </x:c>
      <x:c r="F66" s="21" t="n">
        <x:v>27000</x:v>
      </x:c>
      <x:c r="G66" s="21" t="n">
        <x:v>28</x:v>
      </x:c>
      <x:c r="H66" s="21" t="n">
        <x:v>3582</x:v>
      </x:c>
      <x:c r="J66" s="25" t="str">
        <x:v>Interprétation</x:v>
      </x:c>
      <x:c r="K66" s="25" t="str">
        <x:v>Signal de priorité</x:v>
      </x:c>
      <x:c r="L66" s="25" t="str">
        <x:v>Guide les investigations</x:v>
      </x:c>
      <x:c r="M66" s="25" t="str">
        <x:v>Ne prouve pas la cause racine</x:v>
      </x:c>
    </x:row>
    <x:row r="67" ht="22" customHeight="1">
      <x:c r="A67" s="19" t="str">
        <x:v>2027-01-22</x:v>
      </x:c>
      <x:c r="B67" s="21" t="n">
        <x:v>51</x:v>
      </x:c>
      <x:c r="C67" s="21" t="n">
        <x:v>32797</x:v>
      </x:c>
      <x:c r="D67" s="21" t="n">
        <x:v>643.0784313725491</x:v>
      </x:c>
      <x:c r="E67" s="21" t="n">
        <x:v>19</x:v>
      </x:c>
      <x:c r="F67" s="21" t="n">
        <x:v>28500</x:v>
      </x:c>
      <x:c r="G67" s="21" t="n">
        <x:v>32</x:v>
      </x:c>
      <x:c r="H67" s="21" t="n">
        <x:v>4297</x:v>
      </x:c>
    </x:row>
    <x:row r="68" ht="22" customHeight="1">
      <x:c r="A68" s="19" t="str">
        <x:v>2027-01-25</x:v>
      </x:c>
      <x:c r="B68" s="21" t="n">
        <x:v>40</x:v>
      </x:c>
      <x:c r="C68" s="21" t="n">
        <x:v>31270</x:v>
      </x:c>
      <x:c r="D68" s="21" t="n">
        <x:v>781.75</x:v>
      </x:c>
      <x:c r="E68" s="21" t="n">
        <x:v>19</x:v>
      </x:c>
      <x:c r="F68" s="21" t="n">
        <x:v>28500</x:v>
      </x:c>
      <x:c r="G68" s="21" t="n">
        <x:v>21</x:v>
      </x:c>
      <x:c r="H68" s="21" t="n">
        <x:v>2770</x:v>
      </x:c>
    </x:row>
    <x:row r="69" ht="22" customHeight="1">
      <x:c r="A69" s="19" t="str">
        <x:v>2027-01-26</x:v>
      </x:c>
      <x:c r="B69" s="21" t="n">
        <x:v>58</x:v>
      </x:c>
      <x:c r="C69" s="21" t="n">
        <x:v>31657</x:v>
      </x:c>
      <x:c r="D69" s="21" t="n">
        <x:v>545.8103448275862</x:v>
      </x:c>
      <x:c r="E69" s="21" t="n">
        <x:v>18</x:v>
      </x:c>
      <x:c r="F69" s="21" t="n">
        <x:v>27000</x:v>
      </x:c>
      <x:c r="G69" s="21" t="n">
        <x:v>40</x:v>
      </x:c>
      <x:c r="H69" s="21" t="n">
        <x:v>4657</x:v>
      </x:c>
    </x:row>
    <x:row r="70" ht="22" customHeight="1">
      <x:c r="A70" s="19" t="str">
        <x:v>2027-01-27</x:v>
      </x:c>
      <x:c r="B70" s="21" t="n">
        <x:v>45</x:v>
      </x:c>
      <x:c r="C70" s="21" t="n">
        <x:v>29189</x:v>
      </x:c>
      <x:c r="D70" s="21" t="n">
        <x:v>648.6444444444444</x:v>
      </x:c>
      <x:c r="E70" s="21" t="n">
        <x:v>17</x:v>
      </x:c>
      <x:c r="F70" s="21" t="n">
        <x:v>25500</x:v>
      </x:c>
      <x:c r="G70" s="21" t="n">
        <x:v>28</x:v>
      </x:c>
      <x:c r="H70" s="21" t="n">
        <x:v>3689</x:v>
      </x:c>
    </x:row>
    <x:row r="71" ht="22" customHeight="1">
      <x:c r="A71" s="19" t="str">
        <x:v>2027-01-28</x:v>
      </x:c>
      <x:c r="B71" s="21" t="n">
        <x:v>47</x:v>
      </x:c>
      <x:c r="C71" s="21" t="n">
        <x:v>31582</x:v>
      </x:c>
      <x:c r="D71" s="21" t="n">
        <x:v>671.9574468085107</x:v>
      </x:c>
      <x:c r="E71" s="21" t="n">
        <x:v>19</x:v>
      </x:c>
      <x:c r="F71" s="21" t="n">
        <x:v>28500</x:v>
      </x:c>
      <x:c r="G71" s="21" t="n">
        <x:v>28</x:v>
      </x:c>
      <x:c r="H71" s="21" t="n">
        <x:v>3082</x:v>
      </x:c>
    </x:row>
    <x:row r="72" ht="22" customHeight="1">
      <x:c r="A72" s="19" t="str">
        <x:v>2027-01-29</x:v>
      </x:c>
      <x:c r="B72" s="21" t="n">
        <x:v>42</x:v>
      </x:c>
      <x:c r="C72" s="21" t="n">
        <x:v>30053</x:v>
      </x:c>
      <x:c r="D72" s="21" t="n">
        <x:v>715.547619047619</x:v>
      </x:c>
      <x:c r="E72" s="21" t="n">
        <x:v>18</x:v>
      </x:c>
      <x:c r="F72" s="21" t="n">
        <x:v>27000</x:v>
      </x:c>
      <x:c r="G72" s="21" t="n">
        <x:v>24</x:v>
      </x:c>
      <x:c r="H72" s="21" t="n">
        <x:v>3053</x:v>
      </x:c>
    </x:row>
    <x:row r="73" ht="22" customHeight="1">
      <x:c r="A73" s="19" t="str">
        <x:v>2027-02-01</x:v>
      </x:c>
      <x:c r="B73" s="21" t="n">
        <x:v>50</x:v>
      </x:c>
      <x:c r="C73" s="21" t="n">
        <x:v>33863</x:v>
      </x:c>
      <x:c r="D73" s="21" t="n">
        <x:v>677.26</x:v>
      </x:c>
      <x:c r="E73" s="21" t="n">
        <x:v>20</x:v>
      </x:c>
      <x:c r="F73" s="21" t="n">
        <x:v>30000</x:v>
      </x:c>
      <x:c r="G73" s="21" t="n">
        <x:v>30</x:v>
      </x:c>
      <x:c r="H73" s="21" t="n">
        <x:v>3863</x:v>
      </x:c>
    </x:row>
    <x:row r="74" ht="22" customHeight="1">
      <x:c r="A74" s="19" t="str">
        <x:v>2027-02-02</x:v>
      </x:c>
      <x:c r="B74" s="21" t="n">
        <x:v>39</x:v>
      </x:c>
      <x:c r="C74" s="21" t="n">
        <x:v>28162</x:v>
      </x:c>
      <x:c r="D74" s="21" t="n">
        <x:v>722.1025641025641</x:v>
      </x:c>
      <x:c r="E74" s="21" t="n">
        <x:v>17</x:v>
      </x:c>
      <x:c r="F74" s="21" t="n">
        <x:v>25500</x:v>
      </x:c>
      <x:c r="G74" s="21" t="n">
        <x:v>22</x:v>
      </x:c>
      <x:c r="H74" s="21" t="n">
        <x:v>2662</x:v>
      </x:c>
    </x:row>
    <x:row r="75" ht="22" customHeight="1">
      <x:c r="A75" s="19" t="str">
        <x:v>2027-02-03</x:v>
      </x:c>
      <x:c r="B75" s="21" t="n">
        <x:v>50</x:v>
      </x:c>
      <x:c r="C75" s="21" t="n">
        <x:v>31314</x:v>
      </x:c>
      <x:c r="D75" s="21" t="n">
        <x:v>626.28</x:v>
      </x:c>
      <x:c r="E75" s="21" t="n">
        <x:v>18</x:v>
      </x:c>
      <x:c r="F75" s="21" t="n">
        <x:v>27000</x:v>
      </x:c>
      <x:c r="G75" s="21" t="n">
        <x:v>32</x:v>
      </x:c>
      <x:c r="H75" s="21" t="n">
        <x:v>4314</x:v>
      </x:c>
    </x:row>
    <x:row r="76" ht="22" customHeight="1">
      <x:c r="A76" s="19" t="str">
        <x:v>2027-02-04</x:v>
      </x:c>
      <x:c r="B76" s="21" t="n">
        <x:v>59</x:v>
      </x:c>
      <x:c r="C76" s="21" t="n">
        <x:v>31953</x:v>
      </x:c>
      <x:c r="D76" s="21" t="n">
        <x:v>541.5762711864406</x:v>
      </x:c>
      <x:c r="E76" s="21" t="n">
        <x:v>18</x:v>
      </x:c>
      <x:c r="F76" s="21" t="n">
        <x:v>27000</x:v>
      </x:c>
      <x:c r="G76" s="21" t="n">
        <x:v>41</x:v>
      </x:c>
      <x:c r="H76" s="21" t="n">
        <x:v>4953</x:v>
      </x:c>
    </x:row>
    <x:row r="77" ht="22" customHeight="1">
      <x:c r="A77" s="19" t="str">
        <x:v>2027-02-05</x:v>
      </x:c>
      <x:c r="B77" s="21" t="n">
        <x:v>42</x:v>
      </x:c>
      <x:c r="C77" s="21" t="n">
        <x:v>32549</x:v>
      </x:c>
      <x:c r="D77" s="21" t="n">
        <x:v>774.9761904761905</x:v>
      </x:c>
      <x:c r="E77" s="21" t="n">
        <x:v>20</x:v>
      </x:c>
      <x:c r="F77" s="21" t="n">
        <x:v>30000</x:v>
      </x:c>
      <x:c r="G77" s="21" t="n">
        <x:v>22</x:v>
      </x:c>
      <x:c r="H77" s="21" t="n">
        <x:v>2549</x:v>
      </x:c>
    </x:row>
    <x:row r="78" ht="22" customHeight="1"/>
  </x:sheetData>
  <x:pageMargins left="0.7" right="0.7" top="0.75" bottom="0.75" header="0.3" footer="0.3"/>
</x:worksheet>
</file>