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851d867b0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09730b784328416d"/>
    <x:sheet xmlns:r="http://schemas.openxmlformats.org/officeDocument/2006/relationships" name="Diagnostic" sheetId="2" r:id="R734eb26ecaf84200"/>
    <x:sheet xmlns:r="http://schemas.openxmlformats.org/officeDocument/2006/relationships" name="Variabilité" sheetId="3" r:id="Raa8f28e09d634e4e"/>
    <x:sheet xmlns:r="http://schemas.openxmlformats.org/officeDocument/2006/relationships" name="Équilibrage" sheetId="4" r:id="R0fa892b0a2554ade"/>
    <x:sheet xmlns:r="http://schemas.openxmlformats.org/officeDocument/2006/relationships" name="Sources" sheetId="5" r:id="R74dddf03a032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0.0%"/>
    <x:numFmt numFmtId="203" formatCode="0"/>
  </x:numFmts>
  <x:fonts count="14">
    <x:font>
      <x:sz val="11"/>
      <x:name val="Carlito"/>
    </x:font>
    <x:font>
      <x:b/>
      <x:sz val="15"/>
      <x:color rgb="FF0A1F33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6202A"/>
      <x:name val="Arial"/>
    </x:font>
    <x:font>
      <x:b/>
      <x:sz val="10"/>
      <x:color rgb="FF26734D"/>
      <x:name val="Arial"/>
    </x:font>
    <x:font>
      <x:b/>
      <x:sz val="10"/>
      <x:color rgb="FF0A1F33"/>
      <x:name val="Arial"/>
    </x:font>
    <x:font>
      <x:b/>
      <x:sz val="11"/>
      <x:color rgb="FFC0392B"/>
      <x:name val="Arial"/>
    </x:font>
    <x:font>
      <x:sz val="9"/>
      <x:color rgb="FF16202A"/>
      <x:name val="Arial"/>
    </x:font>
    <x:font>
      <x:b/>
      <x:sz val="9"/>
      <x:color rgb="FF16202A"/>
      <x:name val="Arial"/>
    </x:font>
    <x:font>
      <x:b/>
      <x:sz val="16"/>
      <x:color rgb="FF0A1F33"/>
      <x:name val="Arial"/>
    </x:font>
    <x:font>
      <x:b/>
      <x:sz val="9"/>
      <x:color rgb="FF0A1F33"/>
      <x:name val="Arial"/>
    </x:font>
    <x:font>
      <x:b/>
      <x:sz val="12"/>
      <x:color rgb="FF16202A"/>
      <x:name val="Arial"/>
    </x:font>
    <x:font>
      <x:b/>
      <x:sz val="12"/>
      <x:color rgb="FFC0392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A1F33"/>
      </x:patternFill>
    </x:fill>
    <x:fill>
      <x:patternFill patternType="solid">
        <x:fgColor rgb="FFFFF2CC"/>
      </x:patternFill>
    </x:fill>
    <x:fill>
      <x:patternFill patternType="solid">
        <x:fgColor rgb="FFEAF3FF"/>
      </x:patternFill>
    </x:fill>
    <x:fill>
      <x:patternFill patternType="solid">
        <x:fgColor rgb="FFF4F7FA"/>
      </x:patternFill>
    </x:fill>
  </x:fills>
  <x:borders count="16">
    <x:border/>
    <x:border>
      <x:bottom style="thin">
        <x:color rgb="FF28B8D5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9A227"/>
      </x:left>
    </x:border>
    <x:border>
      <x:right style="thin">
        <x:color rgb="FFC9A227"/>
      </x:right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1" fontId="4" fillId="4" borderId="4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0" fontId="4" fillId="5" borderId="4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1" fontId="4" fillId="5" borderId="4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202" fontId="4" fillId="5" borderId="4" xfId="0" applyNumberFormat="1" applyFont="1" applyFill="1" applyBorder="1" applyAlignment="1">
      <x:alignment vertical="center"/>
    </x:xf>
    <x:xf numFmtId="203" fontId="4" fillId="5" borderId="3" xfId="0" applyNumberFormat="1" applyFont="1" applyFill="1" applyBorder="1" applyAlignment="1">
      <x:alignment vertical="center"/>
    </x:xf>
    <x:xf numFmtId="203" fontId="4" fillId="5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8" fillId="3" borderId="9" xfId="0" applyNumberFormat="1" applyFont="1" applyFill="1" applyBorder="1" applyAlignment="1">
      <x:alignment vertical="center" wrapText="1"/>
    </x:xf>
    <x:xf numFmtId="0" fontId="8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2" borderId="11" xfId="0" applyNumberFormat="1" applyFont="1" applyFill="1" applyBorder="1"/>
    <x:xf numFmtId="0" fontId="3" fillId="2" borderId="11" xfId="0" applyNumberFormat="1" applyFont="1" applyFill="1" applyBorder="1"/>
    <x:xf numFmtId="0" fontId="0" fillId="4" borderId="12" xfId="0" applyNumberFormat="1" applyFont="1" applyFill="1" applyBorder="1"/>
    <x:xf numFmtId="0" fontId="10" fillId="4" borderId="12" xfId="0" applyNumberFormat="1" applyFont="1" applyFill="1" applyBorder="1"/>
    <x:xf numFmtId="0" fontId="10" fillId="4" borderId="12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/>
    <x:xf numFmtId="0" fontId="2" fillId="0" borderId="13" xfId="0" applyNumberFormat="1" applyFont="1" applyFill="1" applyBorder="1" applyAlignment="1">
      <x:alignment horizontal="center"/>
    </x:xf>
    <x:xf numFmtId="201" fontId="10" fillId="4" borderId="12" xfId="0" applyNumberFormat="1" applyFont="1" applyFill="1" applyBorder="1" applyAlignment="1">
      <x:alignment horizontal="center"/>
    </x:xf>
    <x:xf numFmtId="203" fontId="10" fillId="4" borderId="12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201" fontId="12" fillId="0" borderId="0" xfId="0" applyNumberFormat="1" applyFont="1" applyFill="1" applyBorder="1"/>
    <x:xf numFmtId="201" fontId="0" fillId="0" borderId="0" xfId="0" applyNumberFormat="1" applyFont="1" applyFill="1" applyBorder="1"/>
    <x:xf numFmtId="201" fontId="13" fillId="0" borderId="0" xfId="0" applyNumberFormat="1" applyFont="1" applyFill="1" applyBorder="1"/>
    <x:xf numFmtId="0" fontId="9" fillId="3" borderId="14" xfId="0" applyNumberFormat="1" applyFont="1" applyFill="1" applyBorder="1" applyAlignment="1">
      <x:alignment vertical="center" wrapText="1"/>
    </x:xf>
    <x:xf numFmtId="0" fontId="8" fillId="3" borderId="1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C0392B"/>
      </x:font>
      <x:fill>
        <x:patternFill patternType="solid">
          <x:bgColor rgb="FFFDE9E7"/>
        </x:patternFill>
      </x:fill>
    </x:dxf>
    <x:dxf>
      <x:font>
        <x:b/>
        <x:color rgb="FFC0392B"/>
      </x:font>
      <x:fill>
        <x:patternFill patternType="solid">
          <x:bgColor rgb="FFFDE9E7"/>
        </x:patternFill>
      </x:fill>
    </x:dxf>
    <x:dxf>
      <x:font>
        <x:b/>
        <x:color rgb="FFC0392B"/>
      </x:font>
      <x:fill>
        <x:patternFill patternType="solid">
          <x:bgColor rgb="FFFDE9E7"/>
        </x:patternFill>
      </x:fill>
    </x:dxf>
    <x:dxf>
      <x:font>
        <x:b/>
        <x:color rgb="FFC0392B"/>
      </x:font>
      <x:fill>
        <x:patternFill patternType="solid">
          <x:bgColor rgb="FFFDE9E7"/>
        </x:patternFill>
      </x:fill>
    </x:dxf>
    <x:dxf>
      <x:font>
        <x:b/>
        <x:color rgb="FFE67E22"/>
      </x:font>
      <x:fill>
        <x:patternFill patternType="solid">
          <x:bgColor rgb="FFFFF2CC"/>
        </x:patternFill>
      </x:fill>
    </x:dxf>
    <x:dxf>
      <x:font>
        <x:b/>
        <x:color rgb="FF0B63CE"/>
      </x:font>
      <x:fill>
        <x:patternFill patternType="solid">
          <x:bgColor rgb="FFEAF3FF"/>
        </x:patternFill>
      </x:fill>
    </x:dxf>
    <x:dxf>
      <x:font>
        <x:b/>
        <x:color rgb="FF0B63CE"/>
      </x:font>
      <x:fill>
        <x:patternFill patternType="solid">
          <x:bgColor rgb="FFEAF3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c2d99d4c743af" /><Relationship Type="http://schemas.openxmlformats.org/officeDocument/2006/relationships/theme" Target="/xl/theme/theme1.xml" Id="R68a87d983aff40e0" /><Relationship Type="http://schemas.openxmlformats.org/officeDocument/2006/relationships/sharedStrings" Target="/xl/sharedStrings.xml" Id="Re02667d61dcb4e7b" /><Relationship Type="http://schemas.openxmlformats.org/officeDocument/2006/relationships/worksheet" Target="/xl/worksheets/sheet1.xml" Id="R09730b784328416d" /><Relationship Type="http://schemas.openxmlformats.org/officeDocument/2006/relationships/worksheet" Target="/xl/worksheets/sheet2.xml" Id="R734eb26ecaf84200" /><Relationship Type="http://schemas.openxmlformats.org/officeDocument/2006/relationships/worksheet" Target="/xl/worksheets/sheet3.xml" Id="Raa8f28e09d634e4e" /><Relationship Type="http://schemas.openxmlformats.org/officeDocument/2006/relationships/worksheet" Target="/xl/worksheets/sheet4.xml" Id="R0fa892b0a2554ade" /><Relationship Type="http://schemas.openxmlformats.org/officeDocument/2006/relationships/worksheet" Target="/xl/worksheets/sheet5.xml" Id="R74dddf03a03249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3371598ceb147c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760e60f210d418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c74ff9326f74a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Charge par poste vs takt (s/unité)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CT standard (s)</c:v>
          </c:tx>
          <c:spPr>
            <a:solidFill xmlns:a="http://schemas.openxmlformats.org/drawingml/2006/main">
              <a:srgbClr val="0A1F33"/>
            </a:solidFill>
            <a:ln xmlns:a="http://schemas.openxmlformats.org/drawingml/2006/main" w="19050">
              <a:solidFill>
                <a:srgbClr val="0A1F33"/>
              </a:solidFill>
              <a:prstDash val="solid"/>
            </a:ln>
          </c:spPr>
          <c:marker>
            <c:symbol val="none"/>
          </c:marker>
          <c:cat>
            <c:strRef>
              <c:f>'Diagnostic'!$A$15:$A$21</c:f>
              <c:strCache>
                <c:ptCount val="0"/>
              </c:strCache>
            </c:strRef>
          </c:cat>
          <c:val>
            <c:numRef>
              <c:f>'Diagnostic'!$C$15:$C$21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Charge effective (s/u)</c:v>
          </c:tx>
          <c:spPr>
            <a:solidFill xmlns:a="http://schemas.openxmlformats.org/drawingml/2006/main">
              <a:srgbClr val="E67E22"/>
            </a:solidFill>
            <a:ln xmlns:a="http://schemas.openxmlformats.org/drawingml/2006/main" w="1905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'Diagnostic'!$A$15:$A$21</c:f>
              <c:strCache>
                <c:ptCount val="0"/>
              </c:strCache>
            </c:strRef>
          </c:cat>
          <c:val>
            <c:numRef>
              <c:f>'Diagnostic'!$I$15:$I$21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Takt (s/u)</c:v>
          </c:tx>
          <c:spPr>
            <a:solidFill xmlns:a="http://schemas.openxmlformats.org/drawingml/2006/main">
              <a:srgbClr val="C0392B"/>
            </a:solidFill>
            <a:ln xmlns:a="http://schemas.openxmlformats.org/drawingml/2006/main" w="19050">
              <a:solidFill>
                <a:srgbClr val="C0392B"/>
              </a:solidFill>
              <a:prstDash val="dash"/>
            </a:ln>
          </c:spPr>
          <c:marker>
            <c:symbol val="none"/>
          </c:marker>
          <c:cat>
            <c:strRef>
              <c:f>'Diagnostic'!$A$15:$A$21</c:f>
              <c:strCache>
                <c:ptCount val="0"/>
              </c:strCache>
            </c:strRef>
          </c:cat>
          <c:val>
            <c:numRef>
              <c:f>'Diagnostic'!$J$15:$J$21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Secondes par unité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Fréquence des équipes au-dessus du takt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Équipes &gt; takt</c:v>
          </c:tx>
          <c:spPr>
            <a:solidFill xmlns:a="http://schemas.openxmlformats.org/drawingml/2006/main">
              <a:srgbClr val="E67E22"/>
            </a:solidFill>
          </c:spPr>
          <c:cat>
            <c:strRef>
              <c:f>'Variabilité'!$N$7:$N$13</c:f>
              <c:strCache>
                <c:ptCount val="0"/>
              </c:strCache>
            </c:strRef>
          </c:cat>
          <c:val>
            <c:numRef>
              <c:f>'Variabilité'!$O$7:$O$13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Cycle initial vs scénario équilibré (s)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CT initial (s)</c:v>
          </c:tx>
          <c:spPr>
            <a:solidFill xmlns:a="http://schemas.openxmlformats.org/drawingml/2006/main">
              <a:srgbClr val="0A1F33"/>
            </a:solidFill>
          </c:spPr>
          <c:cat>
            <c:strRef>
              <c:f>'Équilibrage'!$A$7:$A$13</c:f>
              <c:strCache>
                <c:ptCount val="0"/>
              </c:strCache>
            </c:strRef>
          </c:cat>
          <c:val>
            <c:numRef>
              <c:f>'Équilibrage'!$B$7:$B$13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CT équilibré (s)</c:v>
          </c:tx>
          <c:spPr>
            <a:solidFill xmlns:a="http://schemas.openxmlformats.org/drawingml/2006/main">
              <a:srgbClr val="0B63CE"/>
            </a:solidFill>
          </c:spPr>
          <c:cat>
            <c:strRef>
              <c:f>'Équilibrage'!$A$7:$A$13</c:f>
              <c:strCache>
                <c:ptCount val="0"/>
              </c:strCache>
            </c:strRef>
          </c:cat>
          <c:val>
            <c:numRef>
              <c:f>'Équilibrage'!$D$7:$D$13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Takt (s)</c:v>
          </c:tx>
          <c:spPr>
            <a:solidFill xmlns:a="http://schemas.openxmlformats.org/drawingml/2006/main">
              <a:srgbClr val="C0392B"/>
            </a:solidFill>
          </c:spPr>
          <c:cat>
            <c:strRef>
              <c:f>'Équilibrage'!$A$7:$A$13</c:f>
              <c:strCache>
                <c:ptCount val="0"/>
              </c:strCache>
            </c:strRef>
          </c:cat>
          <c:val>
            <c:numRef>
              <c:f>'Équilibrage'!$E$7:$E$13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371598ceb147c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14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60e60f210d418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74ff9326f74a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4c451ce0ce43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b3afb31481e43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ee09ab0471b4415" /></Relationships>
</file>

<file path=xl/worksheets/sheet1.xml><?xml version="1.0" encoding="utf-8"?>
<x:worksheet xmlns:x="http://schemas.openxmlformats.org/spreadsheetml/2006/main">
  <x:sheetPr>
    <x:tabColor rgb="FF0A1F33"/>
  </x:sheetPr>
  <x:sheetViews>
    <x:sheetView showGridLines="0" workbookViewId="0"/>
  </x:sheetViews>
  <x:sheetFormatPr defaultRowHeight="15"/>
  <x:cols>
    <x:col min="1" max="1" width="23" hidden="0" customWidth="1"/>
    <x:col min="4" max="4" width="23" hidden="0" customWidth="1"/>
    <x:col min="7" max="7" width="23" hidden="0" customWidth="1"/>
    <x:col min="10" max="10" width="23" hidden="0" customWidth="1"/>
    <x:col min="2" max="2" width="4" hidden="0" customWidth="1"/>
    <x:col min="3" max="3" width="4" hidden="0" customWidth="1"/>
    <x:col min="5" max="5" width="4" hidden="0" customWidth="1"/>
    <x:col min="6" max="6" width="4" hidden="0" customWidth="1"/>
    <x:col min="8" max="8" width="4" hidden="0" customWidth="1"/>
    <x:col min="9" max="9" width="4" hidden="0" customWidth="1"/>
    <x:col min="11" max="11" width="12" hidden="0" customWidth="1"/>
    <x:col min="12" max="12" width="12" hidden="0" customWidth="1"/>
  </x:cols>
  <x:sheetData>
    <x:row r="1" ht="22" customHeight="1"/>
    <x:row r="2" ht="22" customHeight="1">
      <x:c r="A2" s="1" t="str">
        <x:v>EMA-120 - Bottleneck Analysis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3" t="str">
        <x:v>Distinction entre goulot théorique, goulot observé dominant, contraintes secondaires et contraintes temporaires.</x:v>
      </x:c>
    </x:row>
    <x:row r="5" ht="22" customHeight="1"/>
    <x:row r="6" ht="28" customHeight="1">
      <x:c r="A6" s="58" t="str">
        <x:v>Goulot théorique</x:v>
      </x:c>
      <x:c r="D6" s="58" t="str">
        <x:v>Goulot observé</x:v>
      </x:c>
      <x:c r="G6" s="58" t="str">
        <x:v>Capacité observée réf.</x:v>
      </x:c>
      <x:c r="J6" s="58" t="str">
        <x:v>ST50 dominant</x:v>
      </x:c>
    </x:row>
    <x:row r="7" ht="34" customHeight="1">
      <x:c r="A7" s="61" t="str">
        <x:f>INDEX(Diagnostic!A15:A21,MATCH(MAX(Diagnostic!C15:C21),Diagnostic!C15:C21,0))</x:f>
        <x:v>ST50</x:v>
      </x:c>
      <x:c r="D7" s="61" t="str">
        <x:f>Diagnostic!B11</x:f>
        <x:v>ST50</x:v>
      </x:c>
      <x:c r="G7" s="64" t="n">
        <x:f>MIN(Diagnostic!L15:L21)</x:f>
        <x:v>160.285487555609</x:v>
      </x:c>
      <x:c r="J7" s="65" t="n">
        <x:f>MAX(Diagnostic!Q15:Q21)</x:f>
        <x:v>40</x:v>
      </x:c>
    </x:row>
    <x:row r="8" ht="22" customHeight="1">
      <x:c r="A8" s="63" t="str">
        <x:v>base standard</x:v>
      </x:c>
      <x:c r="D8" s="63" t="str">
        <x:v>charge effective</x:v>
      </x:c>
      <x:c r="G8" s="63" t="str">
        <x:v>unités/jour</x:v>
      </x:c>
      <x:c r="J8" s="63" t="str">
        <x:v>équipes sur 40</x:v>
      </x:c>
    </x:row>
    <x:row r="9" ht="22" customHeight="1"/>
    <x:row r="10" ht="22" customHeight="1">
      <x:c r="A10" s="66" t="str">
        <x:v>Charge ST50</x:v>
      </x:c>
      <x:c r="B10"/>
      <x:c r="C10"/>
      <x:c r="D10" s="66" t="str">
        <x:v>Écart ST50 au takt</x:v>
      </x:c>
      <x:c r="E10"/>
      <x:c r="F10"/>
      <x:c r="G10" s="66" t="str">
        <x:v>Contraintes secondaires</x:v>
      </x:c>
      <x:c r="H10"/>
      <x:c r="I10"/>
      <x:c r="J10" s="66" t="str">
        <x:v>Contraintes temporaires</x:v>
      </x:c>
      <x:c r="K10"/>
    </x:row>
    <x:row r="11" ht="22" customHeight="1">
      <x:c r="A11" s="68" t="n">
        <x:f>INDEX(Diagnostic!I15:I21,MATCH("ST50",Diagnostic!A15:A21,0))</x:f>
        <x:v>329.4122306717364</x:v>
      </x:c>
      <x:c r="B11" s="69"/>
      <x:c r="C11" s="69"/>
      <x:c r="D11" s="70" t="n">
        <x:f>A11-Diagnostic!B9</x:f>
        <x:v>77.98365924316496</x:v>
      </x:c>
      <x:c r="G11" s="67" t="str">
        <x:v>ST30, ST40</x:v>
      </x:c>
      <x:c r="J11" s="67" t="str">
        <x:v>ST20, ST60</x:v>
      </x:c>
    </x:row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34" customHeight="1">
      <x:c r="A31" s="48" t="str">
        <x:v>Conclusion</x:v>
      </x:c>
      <x:c r="B31" s="49" t="str">
        <x:v>ST50 est le goulot théorique et observé dominant : 329,4 s/unité de charge effective et 40/40 équipes dominées.</x:v>
      </x:c>
      <x:c r="C31" s="49"/>
      <x:c r="D31" s="49"/>
      <x:c r="E31" s="49"/>
      <x:c r="F31" s="49"/>
      <x:c r="G31" s="49"/>
      <x:c r="H31" s="49"/>
      <x:c r="I31" s="49"/>
      <x:c r="J31" s="49"/>
      <x:c r="K31" s="49"/>
      <x:c r="L31" s="50"/>
    </x:row>
    <x:row r="32" ht="34" customHeight="1">
      <x:c r="A32" s="71" t="str">
        <x:v>Contraintes secondaires</x:v>
      </x:c>
      <x:c r="B32" s="47" t="str">
        <x:v>ST30 et ST40 dépassent également le takt en moyenne après intégration des changements de série et des pertes observées.</x:v>
      </x:c>
      <x:c r="C32" s="47"/>
      <x:c r="D32" s="47"/>
      <x:c r="E32" s="47"/>
      <x:c r="F32" s="47"/>
      <x:c r="G32" s="47"/>
      <x:c r="H32" s="47"/>
      <x:c r="I32" s="47"/>
      <x:c r="J32" s="47"/>
      <x:c r="K32" s="47"/>
      <x:c r="L32" s="72"/>
    </x:row>
    <x:row r="33" ht="34" customHeight="1">
      <x:c r="A33" s="71" t="str">
        <x:v>Variabilité</x:v>
      </x:c>
      <x:c r="B33" s="47" t="str">
        <x:v>ST20 et ST60 restent sous le takt en moyenne, mais le dépassent respectivement sur certaines équipes : ce sont des contraintes temporaires, pas le goulot permanent.</x:v>
      </x:c>
      <x:c r="C33" s="47"/>
      <x:c r="D33" s="47"/>
      <x:c r="E33" s="47"/>
      <x:c r="F33" s="47"/>
      <x:c r="G33" s="47"/>
      <x:c r="H33" s="47"/>
      <x:c r="I33" s="47"/>
      <x:c r="J33" s="47"/>
      <x:c r="K33" s="47"/>
      <x:c r="L33" s="72"/>
    </x:row>
    <x:row r="34" ht="34" customHeight="1">
      <x:c r="A34" s="51" t="str">
        <x:v>Décision</x:v>
      </x:c>
      <x:c r="B34" s="52" t="str">
        <x:v>Traiter d'abord ST50. Ne pas déplacer des tâches sans étude de faisabilité; sinon le problème sera seulement déplacé vers ST30 ou ST40.</x:v>
      </x:c>
      <x:c r="C34" s="52"/>
      <x:c r="D34" s="52"/>
      <x:c r="E34" s="52"/>
      <x:c r="F34" s="52"/>
      <x:c r="G34" s="52"/>
      <x:c r="H34" s="52"/>
      <x:c r="I34" s="52"/>
      <x:c r="J34" s="52"/>
      <x:c r="K34" s="52"/>
      <x:c r="L34" s="53"/>
    </x:row>
    <x:row r="35" ht="22" customHeight="1"/>
  </x:sheetData>
  <x:mergeCells>
    <x:mergeCell ref="B31:L31"/>
    <x:mergeCell ref="B32:L32"/>
    <x:mergeCell ref="B33:L33"/>
    <x:mergeCell ref="B34:L34"/>
  </x:mergeCells>
  <x:pageMargins left="0.7" right="0.7" top="0.75" bottom="0.75" header="0.3" footer="0.3"/>
  <x:drawing xmlns:r="http://schemas.openxmlformats.org/officeDocument/2006/relationships" r:id="R304c451ce0ce43d1"/>
</x:worksheet>
</file>

<file path=xl/worksheets/sheet2.xml><?xml version="1.0" encoding="utf-8"?>
<x:worksheet xmlns:x="http://schemas.openxmlformats.org/spreadsheetml/2006/main">
  <x:sheetPr>
    <x:tabColor rgb="FF0B63CE"/>
  </x:sheetPr>
  <x:sheetViews>
    <x:sheetView showGridLines="0" workbookViewId="0">
      <x:pane xSplit="2" ySplit="14" topLeftCell="C15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4" hidden="0" customWidth="1"/>
  </x:cols>
  <x:sheetData>
    <x:row r="1" ht="22" customHeight="1"/>
    <x:row r="2" ht="22" customHeight="1">
      <x:c r="A2" s="1" t="str">
        <x:v>EMA-120 - Diagnostic du goulot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2" customHeight="1">
      <x:c r="A4" s="3" t="str">
        <x:v>Le goulot dominant est identifié par la charge effective globale; les dépassements par équipe détectent les contraintes temporaires.</x:v>
      </x:c>
    </x:row>
    <x:row r="5" ht="22" customHeight="1"/>
    <x:row r="6" ht="22" customHeight="1">
      <x:c r="A6" s="9" t="str">
        <x:v>Paramètre</x:v>
      </x:c>
      <x:c r="B6" s="9" t="str">
        <x:v>Valeur</x:v>
      </x:c>
    </x:row>
    <x:row r="7" ht="22" customHeight="1">
      <x:c r="A7" s="34" t="str">
        <x:v>Temps dispo. (s/j)</x:v>
      </x:c>
      <x:c r="B7" s="29" t="n">
        <x:f>Sources!B10</x:f>
        <x:v>52800</x:v>
      </x:c>
    </x:row>
    <x:row r="8" ht="22" customHeight="1">
      <x:c r="A8" s="35" t="str">
        <x:v>Demande (u/j)</x:v>
      </x:c>
      <x:c r="B8" s="30" t="n">
        <x:f>Sources!B9</x:f>
        <x:v>210</x:v>
      </x:c>
    </x:row>
    <x:row r="9" ht="22" customHeight="1">
      <x:c r="A9" s="35" t="str">
        <x:v>Takt (s/u)</x:v>
      </x:c>
      <x:c r="B9" s="30" t="n">
        <x:f>Sources!B11</x:f>
        <x:v>251.42857142857142</x:v>
      </x:c>
    </x:row>
    <x:row r="10" ht="22" customHeight="1">
      <x:c r="A10" s="35" t="str">
        <x:v>Équipes analysées</x:v>
      </x:c>
      <x:c r="B10" s="30" t="n">
        <x:f>40</x:f>
        <x:v>40</x:v>
      </x:c>
    </x:row>
    <x:row r="11" ht="22" customHeight="1">
      <x:c r="A11" s="35" t="str">
        <x:v>Goulot dominant</x:v>
      </x:c>
      <x:c r="B11" s="36" t="str">
        <x:f>INDEX(A15:A21,MATCH(MAX(I15:I21),I15:I21,0))</x:f>
        <x:v>ST50</x:v>
      </x:c>
    </x:row>
    <x:row r="12" ht="22" customHeight="1"/>
    <x:row r="13" ht="22" customHeight="1"/>
    <x:row r="14" ht="62" customHeight="1">
      <x:c r="A14" s="9" t="str">
        <x:v>Poste</x:v>
      </x:c>
      <x:c r="B14" s="9" t="str">
        <x:v>Processus</x:v>
      </x:c>
      <x:c r="C14" s="9" t="str">
        <x:v>CT standard (s)</x:v>
      </x:c>
      <x:c r="D14" s="9" t="str">
        <x:v>Premier passage</x:v>
      </x:c>
      <x:c r="E14" s="9" t="str">
        <x:v>Charge nette 1er passage</x:v>
      </x:c>
      <x:c r="F14" s="9" t="str">
        <x:v>Charge de reprise</x:v>
      </x:c>
      <x:c r="G14" s="9" t="str">
        <x:v>Charge arrêts non planifiés</x:v>
      </x:c>
      <x:c r="H14" s="9" t="str">
        <x:v>Charge changements planifiés</x:v>
      </x:c>
      <x:c r="I14" s="9" t="str">
        <x:v>Charge effective (s/u)</x:v>
      </x:c>
      <x:c r="J14" s="9" t="str">
        <x:v>Takt (s/u)</x:v>
      </x:c>
      <x:c r="K14" s="9" t="str">
        <x:v>Capacité théorique (u/j)</x:v>
      </x:c>
      <x:c r="L14" s="9" t="str">
        <x:v>Capacité observée réf. (u/j)</x:v>
      </x:c>
      <x:c r="M14" s="9" t="str">
        <x:v>Pression standard</x:v>
      </x:c>
      <x:c r="N14" s="9" t="str">
        <x:v>Pression observée</x:v>
      </x:c>
      <x:c r="O14" s="9" t="str">
        <x:v>Équipes &gt; takt</x:v>
      </x:c>
      <x:c r="P14" s="9" t="str">
        <x:v>% équipes &gt; takt</x:v>
      </x:c>
      <x:c r="Q14" s="9" t="str">
        <x:v>Équipes dominantes</x:v>
      </x:c>
      <x:c r="R14" s="9" t="str">
        <x:v>Classification</x:v>
      </x:c>
    </x:row>
    <x:row r="15" ht="22" customHeight="1">
      <x:c r="A15" s="21" t="str">
        <x:f>Sources!A15</x:f>
        <x:v>ST10</x:v>
      </x:c>
      <x:c r="B15" s="21" t="str">
        <x:f>Sources!B15</x:f>
        <x:v>Kitting et vérification</x:v>
      </x:c>
      <x:c r="C15" s="25" t="n">
        <x:f>Sources!C15</x:f>
        <x:v>180</x:v>
      </x:c>
      <x:c r="D15" s="23" t="n">
        <x:f>Sources!D15</x:f>
        <x:v>4200</x:v>
      </x:c>
      <x:c r="E15" s="25" t="n">
        <x:f>Sources!G15</x:f>
        <x:v>182.33428571428573</x:v>
      </x:c>
      <x:c r="F15" s="25" t="n">
        <x:f>Sources!H15</x:f>
        <x:v>0</x:v>
      </x:c>
      <x:c r="G15" s="25" t="n">
        <x:f>Sources!I15</x:f>
        <x:v>0.8585714285714285</x:v>
      </x:c>
      <x:c r="H15" s="25" t="n">
        <x:f>Sources!J15</x:f>
        <x:v>21.071428571428573</x:v>
      </x:c>
      <x:c r="I15" s="25" t="n">
        <x:f>SUM(E15:H15)</x:f>
        <x:v>204.26428571428573</x:v>
      </x:c>
      <x:c r="J15" s="25" t="n">
        <x:f>$B$9</x:f>
        <x:v>251.42857142857142</x:v>
      </x:c>
      <x:c r="K15" s="25" t="n">
        <x:f>$B$7/C15</x:f>
        <x:v>293.3333333333333</x:v>
      </x:c>
      <x:c r="L15" s="25" t="n">
        <x:f>$B$7/I15</x:f>
        <x:v>258.48865265587295</x:v>
      </x:c>
      <x:c r="M15" s="37" t="n">
        <x:f>C15/J15</x:f>
        <x:v>0.7159090909090909</x:v>
      </x:c>
      <x:c r="N15" s="37" t="n">
        <x:f>I15/J15</x:f>
        <x:v>0.8124147727272728</x:v>
      </x:c>
      <x:c r="O15" s="39" t="n">
        <x:f>COUNTIF(Variabilité!C$7:C$46,"&gt;"&amp;J15)</x:f>
        <x:v>0</x:v>
      </x:c>
      <x:c r="P15" s="37" t="n">
        <x:f>O15/$B$10</x:f>
        <x:v>0</x:v>
      </x:c>
      <x:c r="Q15" s="39" t="n">
        <x:f>COUNTIF(Variabilité!$J$7:$J$46,A15)</x:f>
        <x:v>0</x:v>
      </x:c>
      <x:c r="R15" s="21" t="str">
        <x:f>IF(A15=$B$11,"Goulot dominant",IF(I15&gt;J15,"Contrainte secondaire",IF(O15&gt;0,"Contrainte temporaire","Marge disponible")))</x:f>
        <x:v>Marge disponible</x:v>
      </x:c>
    </x:row>
    <x:row r="16" ht="22" customHeight="1">
      <x:c r="A16" s="22" t="str">
        <x:f>Sources!A16</x:f>
        <x:v>ST20</x:v>
      </x:c>
      <x:c r="B16" s="22" t="str">
        <x:f>Sources!B16</x:f>
        <x:v>Préassemblage mécanique</x:v>
      </x:c>
      <x:c r="C16" s="26" t="n">
        <x:f>Sources!C16</x:f>
        <x:v>215</x:v>
      </x:c>
      <x:c r="D16" s="24" t="n">
        <x:f>Sources!D16</x:f>
        <x:v>4198</x:v>
      </x:c>
      <x:c r="E16" s="26" t="n">
        <x:f>Sources!G16</x:f>
        <x:v>219.0759885659838</x:v>
      </x:c>
      <x:c r="F16" s="26" t="n">
        <x:f>Sources!H16</x:f>
        <x:v>0</x:v>
      </x:c>
      <x:c r="G16" s="26" t="n">
        <x:f>Sources!I16</x:f>
        <x:v>2.3797046212482136</x:v>
      </x:c>
      <x:c r="H16" s="26" t="n">
        <x:f>Sources!J16</x:f>
        <x:v>21.081467365412102</x:v>
      </x:c>
      <x:c r="I16" s="26" t="n">
        <x:f>SUM(E16:H16)</x:f>
        <x:v>242.5371605526441</x:v>
      </x:c>
      <x:c r="J16" s="26" t="n">
        <x:f>$B$9</x:f>
        <x:v>251.42857142857142</x:v>
      </x:c>
      <x:c r="K16" s="26" t="n">
        <x:f>$B$7/C16</x:f>
        <x:v>245.58139534883722</x:v>
      </x:c>
      <x:c r="L16" s="26" t="n">
        <x:f>$B$7/I16</x:f>
        <x:v>217.69859876189756</x:v>
      </x:c>
      <x:c r="M16" s="38" t="n">
        <x:f>C16/J16</x:f>
        <x:v>0.8551136363636364</x:v>
      </x:c>
      <x:c r="N16" s="38" t="n">
        <x:f>I16/J16</x:f>
        <x:v>0.9646364340161983</x:v>
      </x:c>
      <x:c r="O16" s="40" t="n">
        <x:f>COUNTIF(Variabilité!D$7:D$46,"&gt;"&amp;J16)</x:f>
        <x:v>19</x:v>
      </x:c>
      <x:c r="P16" s="38" t="n">
        <x:f>O16/$B$10</x:f>
        <x:v>0.475</x:v>
      </x:c>
      <x:c r="Q16" s="40" t="n">
        <x:f>COUNTIF(Variabilité!$J$7:$J$46,A16)</x:f>
        <x:v>0</x:v>
      </x:c>
      <x:c r="R16" s="22" t="str">
        <x:f>IF(A16=$B$11,"Goulot dominant",IF(I16&gt;J16,"Contrainte secondaire",IF(O16&gt;0,"Contrainte temporaire","Marge disponible")))</x:f>
        <x:v>Contrainte temporaire</x:v>
      </x:c>
    </x:row>
    <x:row r="17" ht="22" customHeight="1">
      <x:c r="A17" s="22" t="str">
        <x:f>Sources!A17</x:f>
        <x:v>ST30</x:v>
      </x:c>
      <x:c r="B17" s="22" t="str">
        <x:f>Sources!B17</x:f>
        <x:v>Montage arbre et roulements</x:v>
      </x:c>
      <x:c r="C17" s="26" t="n">
        <x:f>Sources!C17</x:f>
        <x:v>240</x:v>
      </x:c>
      <x:c r="D17" s="24" t="n">
        <x:f>Sources!D17</x:f>
        <x:v>3826</x:v>
      </x:c>
      <x:c r="E17" s="26" t="n">
        <x:f>Sources!G17</x:f>
        <x:v>245.40198640878202</x:v>
      </x:c>
      <x:c r="F17" s="26" t="n">
        <x:f>Sources!H17</x:f>
        <x:v>0</x:v>
      </x:c>
      <x:c r="G17" s="26" t="n">
        <x:f>Sources!I17</x:f>
        <x:v>4.746471510716153</x:v>
      </x:c>
      <x:c r="H17" s="26" t="n">
        <x:f>Sources!J17</x:f>
        <x:v>21.17093570308416</x:v>
      </x:c>
      <x:c r="I17" s="26" t="n">
        <x:f>SUM(E17:H17)</x:f>
        <x:v>271.31939362258237</x:v>
      </x:c>
      <x:c r="J17" s="26" t="n">
        <x:f>$B$9</x:f>
        <x:v>251.42857142857142</x:v>
      </x:c>
      <x:c r="K17" s="26" t="n">
        <x:f>$B$7/C17</x:f>
        <x:v>220</x:v>
      </x:c>
      <x:c r="L17" s="26" t="n">
        <x:f>$B$7/I17</x:f>
        <x:v>194.60459237737794</x:v>
      </x:c>
      <x:c r="M17" s="38" t="n">
        <x:f>C17/J17</x:f>
        <x:v>0.9545454545454546</x:v>
      </x:c>
      <x:c r="N17" s="38" t="n">
        <x:f>I17/J17</x:f>
        <x:v>1.0791112246352708</x:v>
      </x:c>
      <x:c r="O17" s="40" t="n">
        <x:f>COUNTIF(Variabilité!E$7:E$46,"&gt;"&amp;J17)</x:f>
        <x:v>39</x:v>
      </x:c>
      <x:c r="P17" s="38" t="n">
        <x:f>O17/$B$10</x:f>
        <x:v>0.975</x:v>
      </x:c>
      <x:c r="Q17" s="40" t="n">
        <x:f>COUNTIF(Variabilité!$J$7:$J$46,A17)</x:f>
        <x:v>0</x:v>
      </x:c>
      <x:c r="R17" s="22" t="str">
        <x:f>IF(A17=$B$11,"Goulot dominant",IF(I17&gt;J17,"Contrainte secondaire",IF(O17&gt;0,"Contrainte temporaire","Marge disponible")))</x:f>
        <x:v>Contrainte secondaire</x:v>
      </x:c>
    </x:row>
    <x:row r="18" ht="22" customHeight="1">
      <x:c r="A18" s="22" t="str">
        <x:f>Sources!A18</x:f>
        <x:v>ST40</x:v>
      </x:c>
      <x:c r="B18" s="22" t="str">
        <x:f>Sources!B18</x:f>
        <x:v>Assemblage et serrage contrôlé</x:v>
      </x:c>
      <x:c r="C18" s="26" t="n">
        <x:f>Sources!C18</x:f>
        <x:v>225</x:v>
      </x:c>
      <x:c r="D18" s="24" t="n">
        <x:f>Sources!D18</x:f>
        <x:v>3821</x:v>
      </x:c>
      <x:c r="E18" s="26" t="n">
        <x:f>Sources!G18</x:f>
        <x:v>230.32844805024862</x:v>
      </x:c>
      <x:c r="F18" s="26" t="n">
        <x:f>Sources!H18</x:f>
        <x:v>1.67416906568961</x:v>
      </x:c>
      <x:c r="G18" s="26" t="n">
        <x:f>Sources!I18</x:f>
        <x:v>2.439937189217482</x:v>
      </x:c>
      <x:c r="H18" s="26" t="n">
        <x:f>Sources!J18</x:f>
        <x:v>21.198639099712118</x:v>
      </x:c>
      <x:c r="I18" s="26" t="n">
        <x:f>SUM(E18:H18)</x:f>
        <x:v>255.64119340486783</x:v>
      </x:c>
      <x:c r="J18" s="26" t="n">
        <x:f>$B$9</x:f>
        <x:v>251.42857142857142</x:v>
      </x:c>
      <x:c r="K18" s="26" t="n">
        <x:f>$B$7/C18</x:f>
        <x:v>234.66666666666666</x:v>
      </x:c>
      <x:c r="L18" s="26" t="n">
        <x:f>$B$7/I18</x:f>
        <x:v>206.5394833155031</x:v>
      </x:c>
      <x:c r="M18" s="38" t="n">
        <x:f>C18/J18</x:f>
        <x:v>0.8948863636363636</x:v>
      </x:c>
      <x:c r="N18" s="38" t="n">
        <x:f>I18/J18</x:f>
        <x:v>1.0167547464966336</x:v>
      </x:c>
      <x:c r="O18" s="40" t="n">
        <x:f>COUNTIF(Variabilité!F$7:F$46,"&gt;"&amp;J18)</x:f>
        <x:v>19</x:v>
      </x:c>
      <x:c r="P18" s="38" t="n">
        <x:f>O18/$B$10</x:f>
        <x:v>0.475</x:v>
      </x:c>
      <x:c r="Q18" s="40" t="n">
        <x:f>COUNTIF(Variabilité!$J$7:$J$46,A18)</x:f>
        <x:v>0</x:v>
      </x:c>
      <x:c r="R18" s="22" t="str">
        <x:f>IF(A18=$B$11,"Goulot dominant",IF(I18&gt;J18,"Contrainte secondaire",IF(O18&gt;0,"Contrainte temporaire","Marge disponible")))</x:f>
        <x:v>Contrainte secondaire</x:v>
      </x:c>
    </x:row>
    <x:row r="19" ht="22" customHeight="1">
      <x:c r="A19" s="22" t="str">
        <x:f>Sources!A19</x:f>
        <x:v>ST50</x:v>
      </x:c>
      <x:c r="B19" s="22" t="str">
        <x:f>Sources!B19</x:f>
        <x:v>Essai fonctionnel</x:v>
      </x:c>
      <x:c r="C19" s="26" t="n">
        <x:f>Sources!C19</x:f>
        <x:v>285</x:v>
      </x:c>
      <x:c r="D19" s="24" t="n">
        <x:f>Sources!D19</x:f>
        <x:v>3156</x:v>
      </x:c>
      <x:c r="E19" s="26" t="n">
        <x:f>Sources!G19</x:f>
        <x:v>292.5361216730038</x:v>
      </x:c>
      <x:c r="F19" s="26" t="n">
        <x:f>Sources!H19</x:f>
        <x:v>7.238910012674271</x:v>
      </x:c>
      <x:c r="G19" s="26" t="n">
        <x:f>Sources!I19</x:f>
        <x:v>8.24936628643853</x:v>
      </x:c>
      <x:c r="H19" s="26" t="n">
        <x:f>Sources!J19</x:f>
        <x:v>21.38783269961977</x:v>
      </x:c>
      <x:c r="I19" s="26" t="n">
        <x:f>SUM(E19:H19)</x:f>
        <x:v>329.4122306717364</x:v>
      </x:c>
      <x:c r="J19" s="26" t="n">
        <x:f>$B$9</x:f>
        <x:v>251.42857142857142</x:v>
      </x:c>
      <x:c r="K19" s="26" t="n">
        <x:f>$B$7/C19</x:f>
        <x:v>185.26315789473685</x:v>
      </x:c>
      <x:c r="L19" s="26" t="n">
        <x:f>$B$7/I19</x:f>
        <x:v>160.285487555609</x:v>
      </x:c>
      <x:c r="M19" s="38" t="n">
        <x:f>C19/J19</x:f>
        <x:v>1.1335227272727273</x:v>
      </x:c>
      <x:c r="N19" s="38" t="n">
        <x:f>I19/J19</x:f>
        <x:v>1.3101622810807698</x:v>
      </x:c>
      <x:c r="O19" s="40" t="n">
        <x:f>COUNTIF(Variabilité!G$7:G$46,"&gt;"&amp;J19)</x:f>
        <x:v>40</x:v>
      </x:c>
      <x:c r="P19" s="38" t="n">
        <x:f>O19/$B$10</x:f>
        <x:v>1</x:v>
      </x:c>
      <x:c r="Q19" s="40" t="n">
        <x:f>COUNTIF(Variabilité!$J$7:$J$46,A19)</x:f>
        <x:v>40</x:v>
      </x:c>
      <x:c r="R19" s="22" t="str">
        <x:f>IF(A19=$B$11,"Goulot dominant",IF(I19&gt;J19,"Contrainte secondaire",IF(O19&gt;0,"Contrainte temporaire","Marge disponible")))</x:f>
        <x:v>Goulot dominant</x:v>
      </x:c>
    </x:row>
    <x:row r="20" ht="22" customHeight="1">
      <x:c r="A20" s="22" t="str">
        <x:f>Sources!A20</x:f>
        <x:v>ST60</x:v>
      </x:c>
      <x:c r="B20" s="22" t="str">
        <x:f>Sources!B20</x:f>
        <x:v>Contrôle qualité</x:v>
      </x:c>
      <x:c r="C20" s="26" t="n">
        <x:f>Sources!C20</x:f>
        <x:v>200</x:v>
      </x:c>
      <x:c r="D20" s="24" t="n">
        <x:f>Sources!D20</x:f>
        <x:v>3148</x:v>
      </x:c>
      <x:c r="E20" s="26" t="n">
        <x:f>Sources!G20</x:f>
        <x:v>203.74110546378654</x:v>
      </x:c>
      <x:c r="F20" s="26" t="n">
        <x:f>Sources!H20</x:f>
        <x:v>2.985705209656925</x:v>
      </x:c>
      <x:c r="G20" s="26" t="n">
        <x:f>Sources!I20</x:f>
        <x:v>1.6607369758576873</x:v>
      </x:c>
      <x:c r="H20" s="26" t="n">
        <x:f>Sources!J20</x:f>
        <x:v>21.44218551461245</x:v>
      </x:c>
      <x:c r="I20" s="26" t="n">
        <x:f>SUM(E20:H20)</x:f>
        <x:v>229.82973316391357</x:v>
      </x:c>
      <x:c r="J20" s="26" t="n">
        <x:f>$B$9</x:f>
        <x:v>251.42857142857142</x:v>
      </x:c>
      <x:c r="K20" s="26" t="n">
        <x:f>$B$7/C20</x:f>
        <x:v>264</x:v>
      </x:c>
      <x:c r="L20" s="26" t="n">
        <x:f>$B$7/I20</x:f>
        <x:v>229.73528826378293</x:v>
      </x:c>
      <x:c r="M20" s="38" t="n">
        <x:f>C20/J20</x:f>
        <x:v>0.7954545454545455</x:v>
      </x:c>
      <x:c r="N20" s="38" t="n">
        <x:f>I20/J20</x:f>
        <x:v>0.9140955296292017</x:v>
      </x:c>
      <x:c r="O20" s="40" t="n">
        <x:f>COUNTIF(Variabilité!H$7:H$46,"&gt;"&amp;J20)</x:f>
        <x:v>7</x:v>
      </x:c>
      <x:c r="P20" s="38" t="n">
        <x:f>O20/$B$10</x:f>
        <x:v>0.175</x:v>
      </x:c>
      <x:c r="Q20" s="40" t="n">
        <x:f>COUNTIF(Variabilité!$J$7:$J$46,A20)</x:f>
        <x:v>0</x:v>
      </x:c>
      <x:c r="R20" s="22" t="str">
        <x:f>IF(A20=$B$11,"Goulot dominant",IF(I20&gt;J20,"Contrainte secondaire",IF(O20&gt;0,"Contrainte temporaire","Marge disponible")))</x:f>
        <x:v>Contrainte temporaire</x:v>
      </x:c>
    </x:row>
    <x:row r="21" ht="22" customHeight="1">
      <x:c r="A21" s="22" t="str">
        <x:f>Sources!A21</x:f>
        <x:v>ST70</x:v>
      </x:c>
      <x:c r="B21" s="22" t="str">
        <x:f>Sources!B21</x:f>
        <x:v>Identification et conditionnement</x:v>
      </x:c>
      <x:c r="C21" s="26" t="n">
        <x:f>Sources!C21</x:f>
        <x:v>160</x:v>
      </x:c>
      <x:c r="D21" s="24" t="n">
        <x:f>Sources!D21</x:f>
        <x:v>3144</x:v>
      </x:c>
      <x:c r="E21" s="26" t="n">
        <x:f>Sources!G21</x:f>
        <x:v>162.16125954198472</x:v>
      </x:c>
      <x:c r="F21" s="26" t="n">
        <x:f>Sources!H21</x:f>
        <x:v>0</x:v>
      </x:c>
      <x:c r="G21" s="26" t="n">
        <x:f>Sources!I21</x:f>
        <x:v>0.5356234096692112</x:v>
      </x:c>
      <x:c r="H21" s="26" t="n">
        <x:f>Sources!J21</x:f>
        <x:v>20.99236641221374</x:v>
      </x:c>
      <x:c r="I21" s="26" t="n">
        <x:f>SUM(E21:H21)</x:f>
        <x:v>183.68924936386765</x:v>
      </x:c>
      <x:c r="J21" s="26" t="n">
        <x:f>$B$9</x:f>
        <x:v>251.42857142857142</x:v>
      </x:c>
      <x:c r="K21" s="26" t="n">
        <x:f>$B$7/C21</x:f>
        <x:v>330</x:v>
      </x:c>
      <x:c r="L21" s="26" t="n">
        <x:f>$B$7/I21</x:f>
        <x:v>287.441971606129</x:v>
      </x:c>
      <x:c r="M21" s="38" t="n">
        <x:f>C21/J21</x:f>
        <x:v>0.6363636363636364</x:v>
      </x:c>
      <x:c r="N21" s="38" t="n">
        <x:f>I21/J21</x:f>
        <x:v>0.73058224178811</x:v>
      </x:c>
      <x:c r="O21" s="40" t="n">
        <x:f>COUNTIF(Variabilité!I$7:I$46,"&gt;"&amp;J21)</x:f>
        <x:v>0</x:v>
      </x:c>
      <x:c r="P21" s="38" t="n">
        <x:f>O21/$B$10</x:f>
        <x:v>0</x:v>
      </x:c>
      <x:c r="Q21" s="40" t="n">
        <x:f>COUNTIF(Variabilité!$J$7:$J$46,A21)</x:f>
        <x:v>0</x:v>
      </x:c>
      <x:c r="R21" s="22" t="str">
        <x:f>IF(A21=$B$11,"Goulot dominant",IF(I21&gt;J21,"Contrainte secondaire",IF(O21&gt;0,"Contrainte temporaire","Marge disponible")))</x:f>
        <x:v>Marge disponible</x:v>
      </x:c>
    </x:row>
    <x:row r="22" ht="22" customHeight="1"/>
    <x:row r="23" ht="22" customHeight="1"/>
    <x:row r="24" ht="36" customHeight="1">
      <x:c r="A24" s="48" t="str">
        <x:v>Règle de lecture</x:v>
      </x:c>
      <x:c r="B24" s="49" t="str">
        <x:v>Goulot dominant = charge effective maximale. Contrainte secondaire = charge effective moyenne supérieure au takt. Contrainte temporaire = moyenne sous le takt mais dépassement sur certaines équipes.</x:v>
      </x:c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49"/>
      <x:c r="P24" s="49"/>
      <x:c r="Q24" s="49"/>
      <x:c r="R24" s="50"/>
    </x:row>
    <x:row r="25" ht="36" customHeight="1">
      <x:c r="A25" s="51" t="str">
        <x:v>Limite</x:v>
      </x:c>
      <x:c r="B25" s="52" t="str">
        <x:v>Cette analyse ne remplace pas l'OEE/TRS. La capacité observée est une référence calculée à partir de la charge moyenne sur la période.</x:v>
      </x:c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3"/>
    </x:row>
    <x:row r="26" ht="22" customHeight="1"/>
  </x:sheetData>
  <x:mergeCells>
    <x:mergeCell ref="B24:R24"/>
    <x:mergeCell ref="B25:R25"/>
  </x:mergeCells>
  <x:conditionalFormatting sqref="I15:I21">
    <x:cfRule type="cellIs" dxfId="2" priority="1" operator="greaterThan">
      <x:formula>$J15</x:formula>
    </x:cfRule>
  </x:conditionalFormatting>
  <x:conditionalFormatting sqref="R15:R21">
    <x:cfRule type="containsText" dxfId="3" priority="2" operator="containsText" text="Goulot dominant"/>
    <x:cfRule type="containsText" dxfId="4" priority="3" operator="containsText" text="Contrainte secondaire"/>
    <x:cfRule type="containsText" dxfId="5" priority="4" operator="containsText" text="Contrainte temporair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67E22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3" hidden="0" customWidth="1"/>
    <x:col min="14" max="14" width="17" hidden="0" customWidth="1"/>
    <x:col min="15" max="15" width="17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1" customHeight="1"/>
    <x:row r="2" ht="21" customHeight="1">
      <x:c r="A2" s="1" t="str">
        <x:v>EMA-120 - Variabilité des contraintes par équipe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21" customHeight="1">
      <x:c r="A4" s="3" t="str">
        <x:v>Charge effective = temps écoulé de production + changements planifiés, divisés par les unités de premier passage.</x:v>
      </x:c>
    </x:row>
    <x:row r="5" ht="21" customHeight="1"/>
    <x:row r="6" ht="42" customHeight="1">
      <x:c r="A6" s="9" t="str">
        <x:v>Date</x:v>
      </x:c>
      <x:c r="B6" s="9" t="str">
        <x:v>Équipe</x:v>
      </x:c>
      <x:c r="C6" s="9" t="str">
        <x:v>ST10</x:v>
      </x:c>
      <x:c r="D6" s="9" t="str">
        <x:v>ST20</x:v>
      </x:c>
      <x:c r="E6" s="9" t="str">
        <x:v>ST30</x:v>
      </x:c>
      <x:c r="F6" s="9" t="str">
        <x:v>ST40</x:v>
      </x:c>
      <x:c r="G6" s="9" t="str">
        <x:v>ST50</x:v>
      </x:c>
      <x:c r="H6" s="9" t="str">
        <x:v>ST60</x:v>
      </x:c>
      <x:c r="I6" s="9" t="str">
        <x:v>ST70</x:v>
      </x:c>
      <x:c r="J6" s="9" t="str">
        <x:v>Poste dominant</x:v>
      </x:c>
      <x:c r="K6" s="9" t="str">
        <x:v>Charge max (s/u)</x:v>
      </x:c>
      <x:c r="L6" s="9" t="str">
        <x:v>Postes &gt; takt</x:v>
      </x:c>
      <x:c r="N6" s="9" t="str">
        <x:v>Poste</x:v>
      </x:c>
      <x:c r="O6" s="9" t="str">
        <x:v>Équipes &gt; takt</x:v>
      </x:c>
    </x:row>
    <x:row r="7" ht="21" customHeight="1">
      <x:c r="A7" s="12" t="str">
        <x:v>2027-01-11</x:v>
      </x:c>
      <x:c r="B7" s="12" t="str">
        <x:v>S1</x:v>
      </x:c>
      <x:c r="C7" s="29" t="n">
        <x:v>191.83823529411765</x:v>
      </x:c>
      <x:c r="D7" s="29" t="n">
        <x:v>229.78070175438597</x:v>
      </x:c>
      <x:c r="E7" s="29" t="n">
        <x:v>245.65714285714284</x:v>
      </x:c>
      <x:c r="F7" s="29" t="n">
        <x:v>225.20388349514562</x:v>
      </x:c>
      <x:c r="G7" s="29" t="n">
        <x:v>303.66265060240966</x:v>
      </x:c>
      <x:c r="H7" s="29" t="n">
        <x:v>203.73170731707316</x:v>
      </x:c>
      <x:c r="I7" s="29" t="n">
        <x:v>160.64197530864197</x:v>
      </x:c>
      <x:c r="J7" s="12" t="str">
        <x:f>INDEX($C$6:$I$6,1,MATCH(MAX(C7:I7),C7:I7,0))</x:f>
        <x:v>ST50</x:v>
      </x:c>
      <x:c r="K7" s="29" t="n">
        <x:f>MAX(C7:I7)</x:f>
        <x:v>303.66265060240966</x:v>
      </x:c>
      <x:c r="L7" s="12" t="n">
        <x:f>COUNTIF(C7:I7,"&gt;"&amp;Sources!$B$11)</x:f>
        <x:v>1</x:v>
      </x:c>
      <x:c r="N7" s="12" t="str">
        <x:v>ST10</x:v>
      </x:c>
      <x:c r="O7" s="31" t="n">
        <x:f>COUNTIF(C$7:C$46,"&gt;"&amp;Sources!$B$11)/40</x:f>
        <x:v>0</x:v>
      </x:c>
    </x:row>
    <x:row r="8" ht="21" customHeight="1">
      <x:c r="A8" s="13" t="str">
        <x:v>2027-01-11</x:v>
      </x:c>
      <x:c r="B8" s="13" t="str">
        <x:v>S2</x:v>
      </x:c>
      <x:c r="C8" s="30" t="n">
        <x:v>205.72972972972974</x:v>
      </x:c>
      <x:c r="D8" s="30" t="n">
        <x:v>242.61458333333334</x:v>
      </x:c>
      <x:c r="E8" s="30" t="n">
        <x:v>287.1978021978022</x:v>
      </x:c>
      <x:c r="F8" s="30" t="n">
        <x:v>275.9886363636364</x:v>
      </x:c>
      <x:c r="G8" s="30" t="n">
        <x:v>331.55696202531647</x:v>
      </x:c>
      <x:c r="H8" s="30" t="n">
        <x:v>224.74683544303798</x:v>
      </x:c>
      <x:c r="I8" s="30" t="n">
        <x:v>183.26923076923077</x:v>
      </x:c>
      <x:c r="J8" s="13" t="str">
        <x:f>INDEX($C$6:$I$6,1,MATCH(MAX(C8:I8),C8:I8,0))</x:f>
        <x:v>ST50</x:v>
      </x:c>
      <x:c r="K8" s="30" t="n">
        <x:f>MAX(C8:I8)</x:f>
        <x:v>331.55696202531647</x:v>
      </x:c>
      <x:c r="L8" s="13" t="n">
        <x:f>COUNTIF(C8:I8,"&gt;"&amp;Sources!$B$11)</x:f>
        <x:v>3</x:v>
      </x:c>
      <x:c r="N8" s="13" t="str">
        <x:v>ST20</x:v>
      </x:c>
      <x:c r="O8" s="32" t="n">
        <x:f>COUNTIF(D$7:D$46,"&gt;"&amp;Sources!$B$11)/40</x:f>
        <x:v>0.475</x:v>
      </x:c>
    </x:row>
    <x:row r="9" ht="21" customHeight="1">
      <x:c r="A9" s="13" t="str">
        <x:v>2027-01-12</x:v>
      </x:c>
      <x:c r="B9" s="13" t="str">
        <x:v>S1</x:v>
      </x:c>
      <x:c r="C9" s="30" t="n">
        <x:v>206.24409448818898</x:v>
      </x:c>
      <x:c r="D9" s="30" t="n">
        <x:v>232.9904761904762</x:v>
      </x:c>
      <x:c r="E9" s="30" t="n">
        <x:v>257.64356435643566</x:v>
      </x:c>
      <x:c r="F9" s="30" t="n">
        <x:v>246.14563106796118</x:v>
      </x:c>
      <x:c r="G9" s="30" t="n">
        <x:v>338.35064935064935</x:v>
      </x:c>
      <x:c r="H9" s="30" t="n">
        <x:v>245.87012987012986</x:v>
      </x:c>
      <x:c r="I9" s="30" t="n">
        <x:v>202.10256410256412</x:v>
      </x:c>
      <x:c r="J9" s="13" t="str">
        <x:f>INDEX($C$6:$I$6,1,MATCH(MAX(C9:I9),C9:I9,0))</x:f>
        <x:v>ST50</x:v>
      </x:c>
      <x:c r="K9" s="30" t="n">
        <x:f>MAX(C9:I9)</x:f>
        <x:v>338.35064935064935</x:v>
      </x:c>
      <x:c r="L9" s="13" t="n">
        <x:f>COUNTIF(C9:I9,"&gt;"&amp;Sources!$B$11)</x:f>
        <x:v>2</x:v>
      </x:c>
      <x:c r="N9" s="13" t="str">
        <x:v>ST30</x:v>
      </x:c>
      <x:c r="O9" s="32" t="n">
        <x:f>COUNTIF(E$7:E$46,"&gt;"&amp;Sources!$B$11)/40</x:f>
        <x:v>0.975</x:v>
      </x:c>
    </x:row>
    <x:row r="10" ht="21" customHeight="1">
      <x:c r="A10" s="13" t="str">
        <x:v>2027-01-12</x:v>
      </x:c>
      <x:c r="B10" s="13" t="str">
        <x:v>S2</x:v>
      </x:c>
      <x:c r="C10" s="30" t="n">
        <x:v>204.12048192771084</x:v>
      </x:c>
      <x:c r="D10" s="30" t="n">
        <x:v>255.7549019607843</x:v>
      </x:c>
      <x:c r="E10" s="30" t="n">
        <x:v>281.1720430107527</x:v>
      </x:c>
      <x:c r="F10" s="30" t="n">
        <x:v>270.64044943820227</x:v>
      </x:c>
      <x:c r="G10" s="30" t="n">
        <x:v>326.175</x:v>
      </x:c>
      <x:c r="H10" s="30" t="n">
        <x:v>207.44155844155844</x:v>
      </x:c>
      <x:c r="I10" s="30" t="n">
        <x:v>159.63636363636363</x:v>
      </x:c>
      <x:c r="J10" s="13" t="str">
        <x:f>INDEX($C$6:$I$6,1,MATCH(MAX(C10:I10),C10:I10,0))</x:f>
        <x:v>ST50</x:v>
      </x:c>
      <x:c r="K10" s="30" t="n">
        <x:f>MAX(C10:I10)</x:f>
        <x:v>326.175</x:v>
      </x:c>
      <x:c r="L10" s="13" t="n">
        <x:f>COUNTIF(C10:I10,"&gt;"&amp;Sources!$B$11)</x:f>
        <x:v>4</x:v>
      </x:c>
      <x:c r="N10" s="13" t="str">
        <x:v>ST40</x:v>
      </x:c>
      <x:c r="O10" s="32" t="n">
        <x:f>COUNTIF(F$7:F$46,"&gt;"&amp;Sources!$B$11)/40</x:f>
        <x:v>0.475</x:v>
      </x:c>
    </x:row>
    <x:row r="11" ht="21" customHeight="1">
      <x:c r="A11" s="13" t="str">
        <x:v>2027-01-13</x:v>
      </x:c>
      <x:c r="B11" s="13" t="str">
        <x:v>S1</x:v>
      </x:c>
      <x:c r="C11" s="30" t="n">
        <x:v>206.26771653543307</x:v>
      </x:c>
      <x:c r="D11" s="30" t="n">
        <x:v>231.92592592592592</x:v>
      </x:c>
      <x:c r="E11" s="30" t="n">
        <x:v>264.2929292929293</x:v>
      </x:c>
      <x:c r="F11" s="30" t="n">
        <x:v>246.39423076923077</x:v>
      </x:c>
      <x:c r="G11" s="30" t="n">
        <x:v>333.79487179487177</x:v>
      </x:c>
      <x:c r="H11" s="30" t="n">
        <x:v>247.46913580246914</x:v>
      </x:c>
      <x:c r="I11" s="30" t="n">
        <x:v>201.075</x:v>
      </x:c>
      <x:c r="J11" s="13" t="str">
        <x:f>INDEX($C$6:$I$6,1,MATCH(MAX(C11:I11),C11:I11,0))</x:f>
        <x:v>ST50</x:v>
      </x:c>
      <x:c r="K11" s="30" t="n">
        <x:f>MAX(C11:I11)</x:f>
        <x:v>333.79487179487177</x:v>
      </x:c>
      <x:c r="L11" s="13" t="n">
        <x:f>COUNTIF(C11:I11,"&gt;"&amp;Sources!$B$11)</x:f>
        <x:v>2</x:v>
      </x:c>
      <x:c r="N11" s="13" t="str">
        <x:v>ST50</x:v>
      </x:c>
      <x:c r="O11" s="32" t="n">
        <x:f>COUNTIF(G$7:G$46,"&gt;"&amp;Sources!$B$11)/40</x:f>
        <x:v>1</x:v>
      </x:c>
    </x:row>
    <x:row r="12" ht="21" customHeight="1">
      <x:c r="A12" s="13" t="str">
        <x:v>2027-01-13</x:v>
      </x:c>
      <x:c r="B12" s="13" t="str">
        <x:v>S2</x:v>
      </x:c>
      <x:c r="C12" s="30" t="n">
        <x:v>203.83132530120483</x:v>
      </x:c>
      <x:c r="D12" s="30" t="n">
        <x:v>253.2135922330097</x:v>
      </x:c>
      <x:c r="E12" s="30" t="n">
        <x:v>273.6736842105263</x:v>
      </x:c>
      <x:c r="F12" s="30" t="n">
        <x:v>246.8762886597938</x:v>
      </x:c>
      <x:c r="G12" s="30" t="n">
        <x:v>327.05</x:v>
      </x:c>
      <x:c r="H12" s="30" t="n">
        <x:v>223.41975308641975</x:v>
      </x:c>
      <x:c r="I12" s="30" t="n">
        <x:v>181.62962962962962</x:v>
      </x:c>
      <x:c r="J12" s="13" t="str">
        <x:f>INDEX($C$6:$I$6,1,MATCH(MAX(C12:I12),C12:I12,0))</x:f>
        <x:v>ST50</x:v>
      </x:c>
      <x:c r="K12" s="30" t="n">
        <x:f>MAX(C12:I12)</x:f>
        <x:v>327.05</x:v>
      </x:c>
      <x:c r="L12" s="13" t="n">
        <x:f>COUNTIF(C12:I12,"&gt;"&amp;Sources!$B$11)</x:f>
        <x:v>3</x:v>
      </x:c>
      <x:c r="N12" s="13" t="str">
        <x:v>ST60</x:v>
      </x:c>
      <x:c r="O12" s="32" t="n">
        <x:f>COUNTIF(H$7:H$46,"&gt;"&amp;Sources!$B$11)/40</x:f>
        <x:v>0.175</x:v>
      </x:c>
    </x:row>
    <x:row r="13" ht="21" customHeight="1">
      <x:c r="A13" s="13" t="str">
        <x:v>2027-01-14</x:v>
      </x:c>
      <x:c r="B13" s="13" t="str">
        <x:v>S1</x:v>
      </x:c>
      <x:c r="C13" s="30" t="n">
        <x:v>205.0703125</x:v>
      </x:c>
      <x:c r="D13" s="30" t="n">
        <x:v>231.3551401869159</x:v>
      </x:c>
      <x:c r="E13" s="30" t="n">
        <x:v>278.8804347826087</x:v>
      </x:c>
      <x:c r="F13" s="30" t="n">
        <x:v>273.48837209302326</x:v>
      </x:c>
      <x:c r="G13" s="30" t="n">
        <x:v>321.38271604938274</x:v>
      </x:c>
      <x:c r="H13" s="30" t="n">
        <x:v>224.625</x:v>
      </x:c>
      <x:c r="I13" s="30" t="n">
        <x:v>181.30864197530863</x:v>
      </x:c>
      <x:c r="J13" s="13" t="str">
        <x:f>INDEX($C$6:$I$6,1,MATCH(MAX(C13:I13),C13:I13,0))</x:f>
        <x:v>ST50</x:v>
      </x:c>
      <x:c r="K13" s="30" t="n">
        <x:f>MAX(C13:I13)</x:f>
        <x:v>321.38271604938274</x:v>
      </x:c>
      <x:c r="L13" s="13" t="n">
        <x:f>COUNTIF(C13:I13,"&gt;"&amp;Sources!$B$11)</x:f>
        <x:v>3</x:v>
      </x:c>
      <x:c r="N13" s="13" t="str">
        <x:v>ST70</x:v>
      </x:c>
      <x:c r="O13" s="32" t="n">
        <x:f>COUNTIF(I$7:I$46,"&gt;"&amp;Sources!$B$11)/40</x:f>
        <x:v>0</x:v>
      </x:c>
    </x:row>
    <x:row r="14" ht="21" customHeight="1">
      <x:c r="A14" s="13" t="str">
        <x:v>2027-01-14</x:v>
      </x:c>
      <x:c r="B14" s="13" t="str">
        <x:v>S2</x:v>
      </x:c>
      <x:c r="C14" s="30" t="n">
        <x:v>203.0487804878049</x:v>
      </x:c>
      <x:c r="D14" s="30" t="n">
        <x:v>252.79807692307693</x:v>
      </x:c>
      <x:c r="E14" s="30" t="n">
        <x:v>262.71</x:v>
      </x:c>
      <x:c r="F14" s="30" t="n">
        <x:v>243.8910891089109</x:v>
      </x:c>
      <x:c r="G14" s="30" t="n">
        <x:v>345.5833333333333</x:v>
      </x:c>
      <x:c r="H14" s="30" t="n">
        <x:v>234.6164383561644</x:v>
      </x:c>
      <x:c r="I14" s="30" t="n">
        <x:v>185.43835616438355</x:v>
      </x:c>
      <x:c r="J14" s="13" t="str">
        <x:f>INDEX($C$6:$I$6,1,MATCH(MAX(C14:I14),C14:I14,0))</x:f>
        <x:v>ST50</x:v>
      </x:c>
      <x:c r="K14" s="30" t="n">
        <x:f>MAX(C14:I14)</x:f>
        <x:v>345.5833333333333</x:v>
      </x:c>
      <x:c r="L14" s="13" t="n">
        <x:f>COUNTIF(C14:I14,"&gt;"&amp;Sources!$B$11)</x:f>
        <x:v>3</x:v>
      </x:c>
    </x:row>
    <x:row r="15" ht="21" customHeight="1">
      <x:c r="A15" s="13" t="str">
        <x:v>2027-01-15</x:v>
      </x:c>
      <x:c r="B15" s="13" t="str">
        <x:v>S1</x:v>
      </x:c>
      <x:c r="C15" s="30" t="n">
        <x:v>204.5546875</x:v>
      </x:c>
      <x:c r="D15" s="30" t="n">
        <x:v>233.6</x:v>
      </x:c>
      <x:c r="E15" s="30" t="n">
        <x:v>293.7752808988764</x:v>
      </x:c>
      <x:c r="F15" s="30" t="n">
        <x:v>273.7701149425287</x:v>
      </x:c>
      <x:c r="G15" s="30" t="n">
        <x:v>316.7831325301205</x:v>
      </x:c>
      <x:c r="H15" s="30" t="n">
        <x:v>224.1951219512195</x:v>
      </x:c>
      <x:c r="I15" s="30" t="n">
        <x:v>177.9268292682927</x:v>
      </x:c>
      <x:c r="J15" s="13" t="str">
        <x:f>INDEX($C$6:$I$6,1,MATCH(MAX(C15:I15),C15:I15,0))</x:f>
        <x:v>ST50</x:v>
      </x:c>
      <x:c r="K15" s="30" t="n">
        <x:f>MAX(C15:I15)</x:f>
        <x:v>316.7831325301205</x:v>
      </x:c>
      <x:c r="L15" s="13" t="n">
        <x:f>COUNTIF(C15:I15,"&gt;"&amp;Sources!$B$11)</x:f>
        <x:v>3</x:v>
      </x:c>
    </x:row>
    <x:row r="16" ht="21" customHeight="1">
      <x:c r="A16" s="13" t="str">
        <x:v>2027-01-15</x:v>
      </x:c>
      <x:c r="B16" s="13" t="str">
        <x:v>S2</x:v>
      </x:c>
      <x:c r="C16" s="30" t="n">
        <x:v>202.390243902439</x:v>
      </x:c>
      <x:c r="D16" s="30" t="n">
        <x:v>252.6153846153846</x:v>
      </x:c>
      <x:c r="E16" s="30" t="n">
        <x:v>260</x:v>
      </x:c>
      <x:c r="F16" s="30" t="n">
        <x:v>241.04901960784315</x:v>
      </x:c>
      <x:c r="G16" s="30" t="n">
        <x:v>336.57142857142856</x:v>
      </x:c>
      <x:c r="H16" s="30" t="n">
        <x:v>231.2207792207792</x:v>
      </x:c>
      <x:c r="I16" s="30" t="n">
        <x:v>181.96103896103895</x:v>
      </x:c>
      <x:c r="J16" s="13" t="str">
        <x:f>INDEX($C$6:$I$6,1,MATCH(MAX(C16:I16),C16:I16,0))</x:f>
        <x:v>ST50</x:v>
      </x:c>
      <x:c r="K16" s="30" t="n">
        <x:f>MAX(C16:I16)</x:f>
        <x:v>336.57142857142856</x:v>
      </x:c>
      <x:c r="L16" s="13" t="n">
        <x:f>COUNTIF(C16:I16,"&gt;"&amp;Sources!$B$11)</x:f>
        <x:v>3</x:v>
      </x:c>
    </x:row>
    <x:row r="17" ht="21" customHeight="1">
      <x:c r="A17" s="13" t="str">
        <x:v>2027-01-18</x:v>
      </x:c>
      <x:c r="B17" s="13" t="str">
        <x:v>S1</x:v>
      </x:c>
      <x:c r="C17" s="30" t="n">
        <x:v>204.32558139534885</x:v>
      </x:c>
      <x:c r="D17" s="30" t="n">
        <x:v>230.74766355140187</x:v>
      </x:c>
      <x:c r="E17" s="30" t="n">
        <x:v>288.42857142857144</x:v>
      </x:c>
      <x:c r="F17" s="30" t="n">
        <x:v>255.24444444444444</x:v>
      </x:c>
      <x:c r="G17" s="30" t="n">
        <x:v>374.8285714285714</x:v>
      </x:c>
      <x:c r="H17" s="30" t="n">
        <x:v>252.71428571428572</x:v>
      </x:c>
      <x:c r="I17" s="30" t="n">
        <x:v>209.84057971014494</x:v>
      </x:c>
      <x:c r="J17" s="13" t="str">
        <x:f>INDEX($C$6:$I$6,1,MATCH(MAX(C17:I17),C17:I17,0))</x:f>
        <x:v>ST50</x:v>
      </x:c>
      <x:c r="K17" s="30" t="n">
        <x:f>MAX(C17:I17)</x:f>
        <x:v>374.8285714285714</x:v>
      </x:c>
      <x:c r="L17" s="13" t="n">
        <x:f>COUNTIF(C17:I17,"&gt;"&amp;Sources!$B$11)</x:f>
        <x:v>4</x:v>
      </x:c>
    </x:row>
    <x:row r="18" ht="21" customHeight="1">
      <x:c r="A18" s="13" t="str">
        <x:v>2027-01-18</x:v>
      </x:c>
      <x:c r="B18" s="13" t="str">
        <x:v>S2</x:v>
      </x:c>
      <x:c r="C18" s="30" t="n">
        <x:v>204.19753086419752</x:v>
      </x:c>
      <x:c r="D18" s="30" t="n">
        <x:v>251.70192307692307</x:v>
      </x:c>
      <x:c r="E18" s="30" t="n">
        <x:v>256.70588235294116</x:v>
      </x:c>
      <x:c r="F18" s="30" t="n">
        <x:v>252.70192307692307</x:v>
      </x:c>
      <x:c r="G18" s="30" t="n">
        <x:v>294.49411764705883</x:v>
      </x:c>
      <x:c r="H18" s="30" t="n">
        <x:v>211.98823529411766</x:v>
      </x:c>
      <x:c r="I18" s="30" t="n">
        <x:v>160.97674418604652</x:v>
      </x:c>
      <x:c r="J18" s="13" t="str">
        <x:f>INDEX($C$6:$I$6,1,MATCH(MAX(C18:I18),C18:I18,0))</x:f>
        <x:v>ST50</x:v>
      </x:c>
      <x:c r="K18" s="30" t="n">
        <x:f>MAX(C18:I18)</x:f>
        <x:v>294.49411764705883</x:v>
      </x:c>
      <x:c r="L18" s="13" t="n">
        <x:f>COUNTIF(C18:I18,"&gt;"&amp;Sources!$B$11)</x:f>
        <x:v>4</x:v>
      </x:c>
    </x:row>
    <x:row r="19" ht="21" customHeight="1">
      <x:c r="A19" s="13" t="str">
        <x:v>2027-01-19</x:v>
      </x:c>
      <x:c r="B19" s="13" t="str">
        <x:v>S1</x:v>
      </x:c>
      <x:c r="C19" s="30" t="n">
        <x:v>205.5390625</x:v>
      </x:c>
      <x:c r="D19" s="30" t="n">
        <x:v>233.18867924528303</x:v>
      </x:c>
      <x:c r="E19" s="30" t="n">
        <x:v>270.1958762886598</x:v>
      </x:c>
      <x:c r="F19" s="30" t="n">
        <x:v>269.89690721649487</x:v>
      </x:c>
      <x:c r="G19" s="30" t="n">
        <x:v>350.0933333333333</x:v>
      </x:c>
      <x:c r="H19" s="30" t="n">
        <x:v>260.056338028169</x:v>
      </x:c>
      <x:c r="I19" s="30" t="n">
        <x:v>211.65151515151516</x:v>
      </x:c>
      <x:c r="J19" s="13" t="str">
        <x:f>INDEX($C$6:$I$6,1,MATCH(MAX(C19:I19),C19:I19,0))</x:f>
        <x:v>ST50</x:v>
      </x:c>
      <x:c r="K19" s="30" t="n">
        <x:f>MAX(C19:I19)</x:f>
        <x:v>350.0933333333333</x:v>
      </x:c>
      <x:c r="L19" s="13" t="n">
        <x:f>COUNTIF(C19:I19,"&gt;"&amp;Sources!$B$11)</x:f>
        <x:v>4</x:v>
      </x:c>
    </x:row>
    <x:row r="20" ht="21" customHeight="1">
      <x:c r="A20" s="13" t="str">
        <x:v>2027-01-19</x:v>
      </x:c>
      <x:c r="B20" s="13" t="str">
        <x:v>S2</x:v>
      </x:c>
      <x:c r="C20" s="30" t="n">
        <x:v>203.41463414634146</x:v>
      </x:c>
      <x:c r="D20" s="30" t="n">
        <x:v>253.66990291262135</x:v>
      </x:c>
      <x:c r="E20" s="30" t="n">
        <x:v>263.8484848484849</x:v>
      </x:c>
      <x:c r="F20" s="30" t="n">
        <x:v>242.3495145631068</x:v>
      </x:c>
      <x:c r="G20" s="30" t="n">
        <x:v>315.66265060240966</x:v>
      </x:c>
      <x:c r="H20" s="30" t="n">
        <x:v>231.11627906976744</x:v>
      </x:c>
      <x:c r="I20" s="30" t="n">
        <x:v>178.7191011235955</x:v>
      </x:c>
      <x:c r="J20" s="13" t="str">
        <x:f>INDEX($C$6:$I$6,1,MATCH(MAX(C20:I20),C20:I20,0))</x:f>
        <x:v>ST50</x:v>
      </x:c>
      <x:c r="K20" s="30" t="n">
        <x:f>MAX(C20:I20)</x:f>
        <x:v>315.66265060240966</x:v>
      </x:c>
      <x:c r="L20" s="13" t="n">
        <x:f>COUNTIF(C20:I20,"&gt;"&amp;Sources!$B$11)</x:f>
        <x:v>3</x:v>
      </x:c>
    </x:row>
    <x:row r="21" ht="21" customHeight="1">
      <x:c r="A21" s="13" t="str">
        <x:v>2027-01-20</x:v>
      </x:c>
      <x:c r="B21" s="13" t="str">
        <x:v>S1</x:v>
      </x:c>
      <x:c r="C21" s="30" t="n">
        <x:v>204.6796875</x:v>
      </x:c>
      <x:c r="D21" s="30" t="n">
        <x:v>232.4392523364486</x:v>
      </x:c>
      <x:c r="E21" s="30" t="n">
        <x:v>295.40449438202245</x:v>
      </x:c>
      <x:c r="F21" s="30" t="n">
        <x:v>273.4166666666667</x:v>
      </x:c>
      <x:c r="G21" s="30" t="n">
        <x:v>326.525</x:v>
      </x:c>
      <x:c r="H21" s="30" t="n">
        <x:v>222.05</x:v>
      </x:c>
      <x:c r="I21" s="30" t="n">
        <x:v>179.66666666666666</x:v>
      </x:c>
      <x:c r="J21" s="13" t="str">
        <x:f>INDEX($C$6:$I$6,1,MATCH(MAX(C21:I21),C21:I21,0))</x:f>
        <x:v>ST50</x:v>
      </x:c>
      <x:c r="K21" s="30" t="n">
        <x:f>MAX(C21:I21)</x:f>
        <x:v>326.525</x:v>
      </x:c>
      <x:c r="L21" s="13" t="n">
        <x:f>COUNTIF(C21:I21,"&gt;"&amp;Sources!$B$11)</x:f>
        <x:v>3</x:v>
      </x:c>
    </x:row>
    <x:row r="22" ht="21" customHeight="1">
      <x:c r="A22" s="13" t="str">
        <x:v>2027-01-20</x:v>
      </x:c>
      <x:c r="B22" s="13" t="str">
        <x:v>S2</x:v>
      </x:c>
      <x:c r="C22" s="30" t="n">
        <x:v>203.41463414634146</x:v>
      </x:c>
      <x:c r="D22" s="30" t="n">
        <x:v>262.7878787878788</x:v>
      </x:c>
      <x:c r="E22" s="30" t="n">
        <x:v>264.1515151515151</x:v>
      </x:c>
      <x:c r="F22" s="30" t="n">
        <x:v>249.4271844660194</x:v>
      </x:c>
      <x:c r="G22" s="30" t="n">
        <x:v>335.09090909090907</x:v>
      </x:c>
      <x:c r="H22" s="30" t="n">
        <x:v>230.23076923076923</x:v>
      </x:c>
      <x:c r="I22" s="30" t="n">
        <x:v>185.66233766233765</x:v>
      </x:c>
      <x:c r="J22" s="13" t="str">
        <x:f>INDEX($C$6:$I$6,1,MATCH(MAX(C22:I22),C22:I22,0))</x:f>
        <x:v>ST50</x:v>
      </x:c>
      <x:c r="K22" s="30" t="n">
        <x:f>MAX(C22:I22)</x:f>
        <x:v>335.09090909090907</x:v>
      </x:c>
      <x:c r="L22" s="13" t="n">
        <x:f>COUNTIF(C22:I22,"&gt;"&amp;Sources!$B$11)</x:f>
        <x:v>3</x:v>
      </x:c>
    </x:row>
    <x:row r="23" ht="21" customHeight="1">
      <x:c r="A23" s="13" t="str">
        <x:v>2027-01-21</x:v>
      </x:c>
      <x:c r="B23" s="13" t="str">
        <x:v>S1</x:v>
      </x:c>
      <x:c r="C23" s="30" t="n">
        <x:v>204.8359375</x:v>
      </x:c>
      <x:c r="D23" s="30" t="n">
        <x:v>231.4144144144144</x:v>
      </x:c>
      <x:c r="E23" s="30" t="n">
        <x:v>264.0842105263158</x:v>
      </x:c>
      <x:c r="F23" s="30" t="n">
        <x:v>250.98969072164948</x:v>
      </x:c>
      <x:c r="G23" s="30" t="n">
        <x:v>310.0352941176471</x:v>
      </x:c>
      <x:c r="H23" s="30" t="n">
        <x:v>225.10843373493975</x:v>
      </x:c>
      <x:c r="I23" s="30" t="n">
        <x:v>177.93975903614458</x:v>
      </x:c>
      <x:c r="J23" s="13" t="str">
        <x:f>INDEX($C$6:$I$6,1,MATCH(MAX(C23:I23),C23:I23,0))</x:f>
        <x:v>ST50</x:v>
      </x:c>
      <x:c r="K23" s="30" t="n">
        <x:f>MAX(C23:I23)</x:f>
        <x:v>310.0352941176471</x:v>
      </x:c>
      <x:c r="L23" s="13" t="n">
        <x:f>COUNTIF(C23:I23,"&gt;"&amp;Sources!$B$11)</x:f>
        <x:v>2</x:v>
      </x:c>
    </x:row>
    <x:row r="24" ht="21" customHeight="1">
      <x:c r="A24" s="13" t="str">
        <x:v>2027-01-21</x:v>
      </x:c>
      <x:c r="B24" s="13" t="str">
        <x:v>S2</x:v>
      </x:c>
      <x:c r="C24" s="30" t="n">
        <x:v>203.21951219512195</x:v>
      </x:c>
      <x:c r="D24" s="30" t="n">
        <x:v>254.62135922330097</x:v>
      </x:c>
      <x:c r="E24" s="30" t="n">
        <x:v>283.3068181818182</x:v>
      </x:c>
      <x:c r="F24" s="30" t="n">
        <x:v>269.2530120481928</x:v>
      </x:c>
      <x:c r="G24" s="30" t="n">
        <x:v>342.57894736842104</x:v>
      </x:c>
      <x:c r="H24" s="30" t="n">
        <x:v>228.03947368421052</x:v>
      </x:c>
      <x:c r="I24" s="30" t="n">
        <x:v>182.8961038961039</x:v>
      </x:c>
      <x:c r="J24" s="13" t="str">
        <x:f>INDEX($C$6:$I$6,1,MATCH(MAX(C24:I24),C24:I24,0))</x:f>
        <x:v>ST50</x:v>
      </x:c>
      <x:c r="K24" s="30" t="n">
        <x:f>MAX(C24:I24)</x:f>
        <x:v>342.57894736842104</x:v>
      </x:c>
      <x:c r="L24" s="13" t="n">
        <x:f>COUNTIF(C24:I24,"&gt;"&amp;Sources!$B$11)</x:f>
        <x:v>4</x:v>
      </x:c>
    </x:row>
    <x:row r="25" ht="21" customHeight="1">
      <x:c r="A25" s="13" t="str">
        <x:v>2027-01-22</x:v>
      </x:c>
      <x:c r="B25" s="13" t="str">
        <x:v>S1</x:v>
      </x:c>
      <x:c r="C25" s="30" t="n">
        <x:v>206.11811023622047</x:v>
      </x:c>
      <x:c r="D25" s="30" t="n">
        <x:v>231.05607476635515</x:v>
      </x:c>
      <x:c r="E25" s="30" t="n">
        <x:v>262.75757575757575</x:v>
      </x:c>
      <x:c r="F25" s="30" t="n">
        <x:v>246.34</x:v>
      </x:c>
      <x:c r="G25" s="30" t="n">
        <x:v>352.52702702702703</x:v>
      </x:c>
      <x:c r="H25" s="30" t="n">
        <x:v>260.0135135135135</x:v>
      </x:c>
      <x:c r="I25" s="30" t="n">
        <x:v>203.66216216216216</x:v>
      </x:c>
      <x:c r="J25" s="13" t="str">
        <x:f>INDEX($C$6:$I$6,1,MATCH(MAX(C25:I25),C25:I25,0))</x:f>
        <x:v>ST50</x:v>
      </x:c>
      <x:c r="K25" s="30" t="n">
        <x:f>MAX(C25:I25)</x:f>
        <x:v>352.52702702702703</x:v>
      </x:c>
      <x:c r="L25" s="13" t="n">
        <x:f>COUNTIF(C25:I25,"&gt;"&amp;Sources!$B$11)</x:f>
        <x:v>3</x:v>
      </x:c>
    </x:row>
    <x:row r="26" ht="21" customHeight="1">
      <x:c r="A26" s="13" t="str">
        <x:v>2027-01-22</x:v>
      </x:c>
      <x:c r="B26" s="13" t="str">
        <x:v>S2</x:v>
      </x:c>
      <x:c r="C26" s="30" t="n">
        <x:v>203.87951807228916</x:v>
      </x:c>
      <x:c r="D26" s="30" t="n">
        <x:v>251.80769230769232</x:v>
      </x:c>
      <x:c r="E26" s="30" t="n">
        <x:v>290.8222222222222</x:v>
      </x:c>
      <x:c r="F26" s="30" t="n">
        <x:v>270.39772727272725</x:v>
      </x:c>
      <x:c r="G26" s="30" t="n">
        <x:v>320.71604938271605</x:v>
      </x:c>
      <x:c r="H26" s="30" t="n">
        <x:v>204.4625</x:v>
      </x:c>
      <x:c r="I26" s="30" t="n">
        <x:v>161.5</x:v>
      </x:c>
      <x:c r="J26" s="13" t="str">
        <x:f>INDEX($C$6:$I$6,1,MATCH(MAX(C26:I26),C26:I26,0))</x:f>
        <x:v>ST50</x:v>
      </x:c>
      <x:c r="K26" s="30" t="n">
        <x:f>MAX(C26:I26)</x:f>
        <x:v>320.71604938271605</x:v>
      </x:c>
      <x:c r="L26" s="13" t="n">
        <x:f>COUNTIF(C26:I26,"&gt;"&amp;Sources!$B$11)</x:f>
        <x:v>4</x:v>
      </x:c>
    </x:row>
    <x:row r="27" ht="21" customHeight="1">
      <x:c r="A27" s="13" t="str">
        <x:v>2027-01-25</x:v>
      </x:c>
      <x:c r="B27" s="13" t="str">
        <x:v>S1</x:v>
      </x:c>
      <x:c r="C27" s="30" t="n">
        <x:v>204.609375</x:v>
      </x:c>
      <x:c r="D27" s="30" t="n">
        <x:v>230.47169811320754</x:v>
      </x:c>
      <x:c r="E27" s="30" t="n">
        <x:v>263.42424242424244</x:v>
      </x:c>
      <x:c r="F27" s="30" t="n">
        <x:v>244.8469387755102</x:v>
      </x:c>
      <x:c r="G27" s="30" t="n">
        <x:v>325.125</x:v>
      </x:c>
      <x:c r="H27" s="30" t="n">
        <x:v>244.22222222222223</x:v>
      </x:c>
      <x:c r="I27" s="30" t="n">
        <x:v>201.82051282051282</x:v>
      </x:c>
      <x:c r="J27" s="13" t="str">
        <x:f>INDEX($C$6:$I$6,1,MATCH(MAX(C27:I27),C27:I27,0))</x:f>
        <x:v>ST50</x:v>
      </x:c>
      <x:c r="K27" s="30" t="n">
        <x:f>MAX(C27:I27)</x:f>
        <x:v>325.125</x:v>
      </x:c>
      <x:c r="L27" s="13" t="n">
        <x:f>COUNTIF(C27:I27,"&gt;"&amp;Sources!$B$11)</x:f>
        <x:v>2</x:v>
      </x:c>
    </x:row>
    <x:row r="28" ht="21" customHeight="1">
      <x:c r="A28" s="13" t="str">
        <x:v>2027-01-25</x:v>
      </x:c>
      <x:c r="B28" s="13" t="str">
        <x:v>S2</x:v>
      </x:c>
      <x:c r="C28" s="30" t="n">
        <x:v>203.4878048780488</x:v>
      </x:c>
      <x:c r="D28" s="30" t="n">
        <x:v>254.36893203883494</x:v>
      </x:c>
      <x:c r="E28" s="30" t="n">
        <x:v>284.9021739130435</x:v>
      </x:c>
      <x:c r="F28" s="30" t="n">
        <x:v>256.97849462365593</x:v>
      </x:c>
      <x:c r="G28" s="30" t="n">
        <x:v>318.4634146341463</x:v>
      </x:c>
      <x:c r="H28" s="30" t="n">
        <x:v>226.9878048780488</x:v>
      </x:c>
      <x:c r="I28" s="30" t="n">
        <x:v>179.89411764705883</x:v>
      </x:c>
      <x:c r="J28" s="13" t="str">
        <x:f>INDEX($C$6:$I$6,1,MATCH(MAX(C28:I28),C28:I28,0))</x:f>
        <x:v>ST50</x:v>
      </x:c>
      <x:c r="K28" s="30" t="n">
        <x:f>MAX(C28:I28)</x:f>
        <x:v>318.4634146341463</x:v>
      </x:c>
      <x:c r="L28" s="13" t="n">
        <x:f>COUNTIF(C28:I28,"&gt;"&amp;Sources!$B$11)</x:f>
        <x:v>4</x:v>
      </x:c>
    </x:row>
    <x:row r="29" ht="21" customHeight="1">
      <x:c r="A29" s="13" t="str">
        <x:v>2027-01-26</x:v>
      </x:c>
      <x:c r="B29" s="13" t="str">
        <x:v>S1</x:v>
      </x:c>
      <x:c r="C29" s="30" t="n">
        <x:v>206.8503937007874</x:v>
      </x:c>
      <x:c r="D29" s="30" t="n">
        <x:v>231.2803738317757</x:v>
      </x:c>
      <x:c r="E29" s="30" t="n">
        <x:v>261.21</x:v>
      </x:c>
      <x:c r="F29" s="30" t="n">
        <x:v>244.21904761904761</x:v>
      </x:c>
      <x:c r="G29" s="30" t="n">
        <x:v>330.1392405063291</x:v>
      </x:c>
      <x:c r="H29" s="30" t="n">
        <x:v>222.25</x:v>
      </x:c>
      <x:c r="I29" s="30" t="n">
        <x:v>180.9493670886076</x:v>
      </x:c>
      <x:c r="J29" s="13" t="str">
        <x:f>INDEX($C$6:$I$6,1,MATCH(MAX(C29:I29),C29:I29,0))</x:f>
        <x:v>ST50</x:v>
      </x:c>
      <x:c r="K29" s="30" t="n">
        <x:f>MAX(C29:I29)</x:f>
        <x:v>330.1392405063291</x:v>
      </x:c>
      <x:c r="L29" s="13" t="n">
        <x:f>COUNTIF(C29:I29,"&gt;"&amp;Sources!$B$11)</x:f>
        <x:v>2</x:v>
      </x:c>
    </x:row>
    <x:row r="30" ht="21" customHeight="1">
      <x:c r="A30" s="13" t="str">
        <x:v>2027-01-26</x:v>
      </x:c>
      <x:c r="B30" s="13" t="str">
        <x:v>S2</x:v>
      </x:c>
      <x:c r="C30" s="30" t="n">
        <x:v>202.63855421686748</x:v>
      </x:c>
      <x:c r="D30" s="30" t="n">
        <x:v>254.62135922330097</x:v>
      </x:c>
      <x:c r="E30" s="30" t="n">
        <x:v>269.74226804123714</x:v>
      </x:c>
      <x:c r="F30" s="30" t="n">
        <x:v>274.13978494623655</x:v>
      </x:c>
      <x:c r="G30" s="30" t="n">
        <x:v>358.958904109589</x:v>
      </x:c>
      <x:c r="H30" s="30" t="n">
        <x:v>233.72222222222223</x:v>
      </x:c>
      <x:c r="I30" s="30" t="n">
        <x:v>187.13698630136986</x:v>
      </x:c>
      <x:c r="J30" s="13" t="str">
        <x:f>INDEX($C$6:$I$6,1,MATCH(MAX(C30:I30),C30:I30,0))</x:f>
        <x:v>ST50</x:v>
      </x:c>
      <x:c r="K30" s="30" t="n">
        <x:f>MAX(C30:I30)</x:f>
        <x:v>358.958904109589</x:v>
      </x:c>
      <x:c r="L30" s="13" t="n">
        <x:f>COUNTIF(C30:I30,"&gt;"&amp;Sources!$B$11)</x:f>
        <x:v>4</x:v>
      </x:c>
    </x:row>
    <x:row r="31" ht="21" customHeight="1">
      <x:c r="A31" s="13" t="str">
        <x:v>2027-01-27</x:v>
      </x:c>
      <x:c r="B31" s="13" t="str">
        <x:v>S1</x:v>
      </x:c>
      <x:c r="C31" s="30" t="n">
        <x:v>206</x:v>
      </x:c>
      <x:c r="D31" s="30" t="n">
        <x:v>232.66355140186917</x:v>
      </x:c>
      <x:c r="E31" s="30" t="n">
        <x:v>258.03960396039605</x:v>
      </x:c>
      <x:c r="F31" s="30" t="n">
        <x:v>242.84761904761905</x:v>
      </x:c>
      <x:c r="G31" s="30" t="n">
        <x:v>294.97752808988764</x:v>
      </x:c>
      <x:c r="H31" s="30" t="n">
        <x:v>219.12359550561797</x:v>
      </x:c>
      <x:c r="I31" s="30" t="n">
        <x:v>176.52808988764045</x:v>
      </x:c>
      <x:c r="J31" s="13" t="str">
        <x:f>INDEX($C$6:$I$6,1,MATCH(MAX(C31:I31),C31:I31,0))</x:f>
        <x:v>ST50</x:v>
      </x:c>
      <x:c r="K31" s="30" t="n">
        <x:f>MAX(C31:I31)</x:f>
        <x:v>294.97752808988764</x:v>
      </x:c>
      <x:c r="L31" s="13" t="n">
        <x:f>COUNTIF(C31:I31,"&gt;"&amp;Sources!$B$11)</x:f>
        <x:v>2</x:v>
      </x:c>
    </x:row>
    <x:row r="32" ht="21" customHeight="1">
      <x:c r="A32" s="13" t="str">
        <x:v>2027-01-27</x:v>
      </x:c>
      <x:c r="B32" s="13" t="str">
        <x:v>S2</x:v>
      </x:c>
      <x:c r="C32" s="30" t="n">
        <x:v>203.79268292682926</x:v>
      </x:c>
      <x:c r="D32" s="30" t="n">
        <x:v>254.09708737864077</x:v>
      </x:c>
      <x:c r="E32" s="30" t="n">
        <x:v>284.4673913043478</x:v>
      </x:c>
      <x:c r="F32" s="30" t="n">
        <x:v>277.10227272727275</x:v>
      </x:c>
      <x:c r="G32" s="30" t="n">
        <x:v>331.14102564102564</x:v>
      </x:c>
      <x:c r="H32" s="30" t="n">
        <x:v>225.86075949367088</x:v>
      </x:c>
      <x:c r="I32" s="30" t="n">
        <x:v>181.9367088607595</x:v>
      </x:c>
      <x:c r="J32" s="13" t="str">
        <x:f>INDEX($C$6:$I$6,1,MATCH(MAX(C32:I32),C32:I32,0))</x:f>
        <x:v>ST50</x:v>
      </x:c>
      <x:c r="K32" s="30" t="n">
        <x:f>MAX(C32:I32)</x:f>
        <x:v>331.14102564102564</x:v>
      </x:c>
      <x:c r="L32" s="13" t="n">
        <x:f>COUNTIF(C32:I32,"&gt;"&amp;Sources!$B$11)</x:f>
        <x:v>4</x:v>
      </x:c>
    </x:row>
    <x:row r="33" ht="21" customHeight="1">
      <x:c r="A33" s="13" t="str">
        <x:v>2027-01-28</x:v>
      </x:c>
      <x:c r="B33" s="13" t="str">
        <x:v>S1</x:v>
      </x:c>
      <x:c r="C33" s="30" t="n">
        <x:v>203.92248062015503</x:v>
      </x:c>
      <x:c r="D33" s="30" t="n">
        <x:v>230.45794392523365</x:v>
      </x:c>
      <x:c r="E33" s="30" t="n">
        <x:v>264.5204081632653</x:v>
      </x:c>
      <x:c r="F33" s="30" t="n">
        <x:v>245</x:v>
      </x:c>
      <x:c r="G33" s="30" t="n">
        <x:v>344.36842105263156</x:v>
      </x:c>
      <x:c r="H33" s="30" t="n">
        <x:v>253.68</x:v>
      </x:c>
      <x:c r="I33" s="30" t="n">
        <x:v>202.4189189189189</x:v>
      </x:c>
      <x:c r="J33" s="13" t="str">
        <x:f>INDEX($C$6:$I$6,1,MATCH(MAX(C33:I33),C33:I33,0))</x:f>
        <x:v>ST50</x:v>
      </x:c>
      <x:c r="K33" s="30" t="n">
        <x:f>MAX(C33:I33)</x:f>
        <x:v>344.36842105263156</x:v>
      </x:c>
      <x:c r="L33" s="13" t="n">
        <x:f>COUNTIF(C33:I33,"&gt;"&amp;Sources!$B$11)</x:f>
        <x:v>3</x:v>
      </x:c>
    </x:row>
    <x:row r="34" ht="21" customHeight="1">
      <x:c r="A34" s="13" t="str">
        <x:v>2027-01-28</x:v>
      </x:c>
      <x:c r="B34" s="13" t="str">
        <x:v>S2</x:v>
      </x:c>
      <x:c r="C34" s="30" t="n">
        <x:v>204.97530864197532</x:v>
      </x:c>
      <x:c r="D34" s="30" t="n">
        <x:v>254.51456310679612</x:v>
      </x:c>
      <x:c r="E34" s="30" t="n">
        <x:v>267.6276595744681</x:v>
      </x:c>
      <x:c r="F34" s="30" t="n">
        <x:v>249.29473684210527</x:v>
      </x:c>
      <x:c r="G34" s="30" t="n">
        <x:v>309.09411764705885</x:v>
      </x:c>
      <x:c r="H34" s="30" t="n">
        <x:v>223.09638554216866</x:v>
      </x:c>
      <x:c r="I34" s="30" t="n">
        <x:v>180.98701298701297</x:v>
      </x:c>
      <x:c r="J34" s="13" t="str">
        <x:f>INDEX($C$6:$I$6,1,MATCH(MAX(C34:I34),C34:I34,0))</x:f>
        <x:v>ST50</x:v>
      </x:c>
      <x:c r="K34" s="30" t="n">
        <x:f>MAX(C34:I34)</x:f>
        <x:v>309.09411764705885</x:v>
      </x:c>
      <x:c r="L34" s="13" t="n">
        <x:f>COUNTIF(C34:I34,"&gt;"&amp;Sources!$B$11)</x:f>
        <x:v>3</x:v>
      </x:c>
    </x:row>
    <x:row r="35" ht="21" customHeight="1">
      <x:c r="A35" s="13" t="str">
        <x:v>2027-01-29</x:v>
      </x:c>
      <x:c r="B35" s="13" t="str">
        <x:v>S1</x:v>
      </x:c>
      <x:c r="C35" s="30" t="n">
        <x:v>204.0077519379845</x:v>
      </x:c>
      <x:c r="D35" s="30" t="n">
        <x:v>234.13084112149534</x:v>
      </x:c>
      <x:c r="E35" s="30" t="n">
        <x:v>288.2906976744186</x:v>
      </x:c>
      <x:c r="F35" s="30" t="n">
        <x:v>272.31325301204816</x:v>
      </x:c>
      <x:c r="G35" s="30" t="n">
        <x:v>332.2278481012658</x:v>
      </x:c>
      <x:c r="H35" s="30" t="n">
        <x:v>232.2625</x:v>
      </x:c>
      <x:c r="I35" s="30" t="n">
        <x:v>183.4418604651163</x:v>
      </x:c>
      <x:c r="J35" s="13" t="str">
        <x:f>INDEX($C$6:$I$6,1,MATCH(MAX(C35:I35),C35:I35,0))</x:f>
        <x:v>ST50</x:v>
      </x:c>
      <x:c r="K35" s="30" t="n">
        <x:f>MAX(C35:I35)</x:f>
        <x:v>332.2278481012658</x:v>
      </x:c>
      <x:c r="L35" s="13" t="n">
        <x:f>COUNTIF(C35:I35,"&gt;"&amp;Sources!$B$11)</x:f>
        <x:v>3</x:v>
      </x:c>
    </x:row>
    <x:row r="36" ht="21" customHeight="1">
      <x:c r="A36" s="13" t="str">
        <x:v>2027-01-29</x:v>
      </x:c>
      <x:c r="B36" s="13" t="str">
        <x:v>S2</x:v>
      </x:c>
      <x:c r="C36" s="30" t="n">
        <x:v>204.93827160493828</x:v>
      </x:c>
      <x:c r="D36" s="30" t="n">
        <x:v>253.63106796116506</x:v>
      </x:c>
      <x:c r="E36" s="30" t="n">
        <x:v>260.17</x:v>
      </x:c>
      <x:c r="F36" s="30" t="n">
        <x:v>249.21428571428572</x:v>
      </x:c>
      <x:c r="G36" s="30" t="n">
        <x:v>315.4698795180723</x:v>
      </x:c>
      <x:c r="H36" s="30" t="n">
        <x:v>222.79518072289156</x:v>
      </x:c>
      <x:c r="I36" s="30" t="n">
        <x:v>178.89285714285714</x:v>
      </x:c>
      <x:c r="J36" s="13" t="str">
        <x:f>INDEX($C$6:$I$6,1,MATCH(MAX(C36:I36),C36:I36,0))</x:f>
        <x:v>ST50</x:v>
      </x:c>
      <x:c r="K36" s="30" t="n">
        <x:f>MAX(C36:I36)</x:f>
        <x:v>315.4698795180723</x:v>
      </x:c>
      <x:c r="L36" s="13" t="n">
        <x:f>COUNTIF(C36:I36,"&gt;"&amp;Sources!$B$11)</x:f>
        <x:v>3</x:v>
      </x:c>
    </x:row>
    <x:row r="37" ht="21" customHeight="1">
      <x:c r="A37" s="13" t="str">
        <x:v>2027-02-01</x:v>
      </x:c>
      <x:c r="B37" s="13" t="str">
        <x:v>S1</x:v>
      </x:c>
      <x:c r="C37" s="30" t="n">
        <x:v>203.9922480620155</x:v>
      </x:c>
      <x:c r="D37" s="30" t="n">
        <x:v>231.41121495327104</x:v>
      </x:c>
      <x:c r="E37" s="30" t="n">
        <x:v>282.44086021505376</x:v>
      </x:c>
      <x:c r="F37" s="30" t="n">
        <x:v>275.3804347826087</x:v>
      </x:c>
      <x:c r="G37" s="30" t="n">
        <x:v>333.3076923076923</x:v>
      </x:c>
      <x:c r="H37" s="30" t="n">
        <x:v>225.46835443037975</x:v>
      </x:c>
      <x:c r="I37" s="30" t="n">
        <x:v>181.84615384615384</x:v>
      </x:c>
      <x:c r="J37" s="13" t="str">
        <x:f>INDEX($C$6:$I$6,1,MATCH(MAX(C37:I37),C37:I37,0))</x:f>
        <x:v>ST50</x:v>
      </x:c>
      <x:c r="K37" s="30" t="n">
        <x:f>MAX(C37:I37)</x:f>
        <x:v>333.3076923076923</x:v>
      </x:c>
      <x:c r="L37" s="13" t="n">
        <x:f>COUNTIF(C37:I37,"&gt;"&amp;Sources!$B$11)</x:f>
        <x:v>3</x:v>
      </x:c>
    </x:row>
    <x:row r="38" ht="21" customHeight="1">
      <x:c r="A38" s="13" t="str">
        <x:v>2027-02-01</x:v>
      </x:c>
      <x:c r="B38" s="13" t="str">
        <x:v>S2</x:v>
      </x:c>
      <x:c r="C38" s="30" t="n">
        <x:v>204.7037037037037</x:v>
      </x:c>
      <x:c r="D38" s="30" t="n">
        <x:v>254.8252427184466</x:v>
      </x:c>
      <x:c r="E38" s="30" t="n">
        <x:v>258.3762376237624</x:v>
      </x:c>
      <x:c r="F38" s="30" t="n">
        <x:v>245.7843137254902</x:v>
      </x:c>
      <x:c r="G38" s="30" t="n">
        <x:v>361.93055555555554</x:v>
      </x:c>
      <x:c r="H38" s="30" t="n">
        <x:v>254.5735294117647</x:v>
      </x:c>
      <x:c r="I38" s="30" t="n">
        <x:v>192.6290322580645</x:v>
      </x:c>
      <x:c r="J38" s="13" t="str">
        <x:f>INDEX($C$6:$I$6,1,MATCH(MAX(C38:I38),C38:I38,0))</x:f>
        <x:v>ST50</x:v>
      </x:c>
      <x:c r="K38" s="30" t="n">
        <x:f>MAX(C38:I38)</x:f>
        <x:v>361.93055555555554</x:v>
      </x:c>
      <x:c r="L38" s="13" t="n">
        <x:f>COUNTIF(C38:I38,"&gt;"&amp;Sources!$B$11)</x:f>
        <x:v>4</x:v>
      </x:c>
    </x:row>
    <x:row r="39" ht="21" customHeight="1">
      <x:c r="A39" s="13" t="str">
        <x:v>2027-02-02</x:v>
      </x:c>
      <x:c r="B39" s="13" t="str">
        <x:v>S1</x:v>
      </x:c>
      <x:c r="C39" s="30" t="n">
        <x:v>204.11627906976744</x:v>
      </x:c>
      <x:c r="D39" s="30" t="n">
        <x:v>230.92523364485982</x:v>
      </x:c>
      <x:c r="E39" s="30" t="n">
        <x:v>292.2247191011236</x:v>
      </x:c>
      <x:c r="F39" s="30" t="n">
        <x:v>255.91954022988506</x:v>
      </x:c>
      <x:c r="G39" s="30" t="n">
        <x:v>292.8988764044944</x:v>
      </x:c>
      <x:c r="H39" s="30" t="n">
        <x:v>201.1505376344086</x:v>
      </x:c>
      <x:c r="I39" s="30" t="n">
        <x:v>175.4848484848485</x:v>
      </x:c>
      <x:c r="J39" s="13" t="str">
        <x:f>INDEX($C$6:$I$6,1,MATCH(MAX(C39:I39),C39:I39,0))</x:f>
        <x:v>ST50</x:v>
      </x:c>
      <x:c r="K39" s="30" t="n">
        <x:f>MAX(C39:I39)</x:f>
        <x:v>292.8988764044944</x:v>
      </x:c>
      <x:c r="L39" s="13" t="n">
        <x:f>COUNTIF(C39:I39,"&gt;"&amp;Sources!$B$11)</x:f>
        <x:v>3</x:v>
      </x:c>
    </x:row>
    <x:row r="40" ht="21" customHeight="1">
      <x:c r="A40" s="13" t="str">
        <x:v>2027-02-02</x:v>
      </x:c>
      <x:c r="B40" s="13" t="str">
        <x:v>S2</x:v>
      </x:c>
      <x:c r="C40" s="30" t="n">
        <x:v>204.17283950617283</x:v>
      </x:c>
      <x:c r="D40" s="30" t="n">
        <x:v>252.8653846153846</x:v>
      </x:c>
      <x:c r="E40" s="30" t="n">
        <x:v>259.7227722772277</x:v>
      </x:c>
      <x:c r="F40" s="30" t="n">
        <x:v>243.2</x:v>
      </x:c>
      <x:c r="G40" s="30" t="n">
        <x:v>346.46666666666664</x:v>
      </x:c>
      <x:c r="H40" s="30" t="n">
        <x:v>252.68571428571428</x:v>
      </x:c>
      <x:c r="I40" s="30" t="n">
        <x:v>185.1304347826087</x:v>
      </x:c>
      <x:c r="J40" s="13" t="str">
        <x:f>INDEX($C$6:$I$6,1,MATCH(MAX(C40:I40),C40:I40,0))</x:f>
        <x:v>ST50</x:v>
      </x:c>
      <x:c r="K40" s="30" t="n">
        <x:f>MAX(C40:I40)</x:f>
        <x:v>346.46666666666664</x:v>
      </x:c>
      <x:c r="L40" s="13" t="n">
        <x:f>COUNTIF(C40:I40,"&gt;"&amp;Sources!$B$11)</x:f>
        <x:v>4</x:v>
      </x:c>
    </x:row>
    <x:row r="41" ht="21" customHeight="1">
      <x:c r="A41" s="13" t="str">
        <x:v>2027-02-03</x:v>
      </x:c>
      <x:c r="B41" s="13" t="str">
        <x:v>S1</x:v>
      </x:c>
      <x:c r="C41" s="30" t="n">
        <x:v>205.8031496062992</x:v>
      </x:c>
      <x:c r="D41" s="30" t="n">
        <x:v>234.06603773584905</x:v>
      </x:c>
      <x:c r="E41" s="30" t="n">
        <x:v>272.34736842105264</x:v>
      </x:c>
      <x:c r="F41" s="30" t="n">
        <x:v>268.93684210526317</x:v>
      </x:c>
      <x:c r="G41" s="30" t="n">
        <x:v>353.22857142857146</x:v>
      </x:c>
      <x:c r="H41" s="30" t="n">
        <x:v>229.7972972972973</x:v>
      </x:c>
      <x:c r="I41" s="30" t="n">
        <x:v>202.18666666666667</x:v>
      </x:c>
      <x:c r="J41" s="13" t="str">
        <x:f>INDEX($C$6:$I$6,1,MATCH(MAX(C41:I41),C41:I41,0))</x:f>
        <x:v>ST50</x:v>
      </x:c>
      <x:c r="K41" s="30" t="n">
        <x:f>MAX(C41:I41)</x:f>
        <x:v>353.22857142857146</x:v>
      </x:c>
      <x:c r="L41" s="13" t="n">
        <x:f>COUNTIF(C41:I41,"&gt;"&amp;Sources!$B$11)</x:f>
        <x:v>3</x:v>
      </x:c>
    </x:row>
    <x:row r="42" ht="21" customHeight="1">
      <x:c r="A42" s="13" t="str">
        <x:v>2027-02-03</x:v>
      </x:c>
      <x:c r="B42" s="13" t="str">
        <x:v>S2</x:v>
      </x:c>
      <x:c r="C42" s="30" t="n">
        <x:v>202.63855421686748</x:v>
      </x:c>
      <x:c r="D42" s="30" t="n">
        <x:v>253.04807692307693</x:v>
      </x:c>
      <x:c r="E42" s="30" t="n">
        <x:v>263.2121212121212</x:v>
      </x:c>
      <x:c r="F42" s="30" t="n">
        <x:v>243.23762376237624</x:v>
      </x:c>
      <x:c r="G42" s="30" t="n">
        <x:v>309.5952380952381</x:v>
      </x:c>
      <x:c r="H42" s="30" t="n">
        <x:v>220.32142857142858</x:v>
      </x:c>
      <x:c r="I42" s="30" t="n">
        <x:v>179.16666666666666</x:v>
      </x:c>
      <x:c r="J42" s="13" t="str">
        <x:f>INDEX($C$6:$I$6,1,MATCH(MAX(C42:I42),C42:I42,0))</x:f>
        <x:v>ST50</x:v>
      </x:c>
      <x:c r="K42" s="30" t="n">
        <x:f>MAX(C42:I42)</x:f>
        <x:v>309.5952380952381</x:v>
      </x:c>
      <x:c r="L42" s="13" t="n">
        <x:f>COUNTIF(C42:I42,"&gt;"&amp;Sources!$B$11)</x:f>
        <x:v>3</x:v>
      </x:c>
    </x:row>
    <x:row r="43" ht="21" customHeight="1">
      <x:c r="A43" s="13" t="str">
        <x:v>2027-02-04</x:v>
      </x:c>
      <x:c r="B43" s="13" t="str">
        <x:v>S1</x:v>
      </x:c>
      <x:c r="C43" s="30" t="n">
        <x:v>205.78740157480314</x:v>
      </x:c>
      <x:c r="D43" s="30" t="n">
        <x:v>231</x:v>
      </x:c>
      <x:c r="E43" s="30" t="n">
        <x:v>289.9888888888889</x:v>
      </x:c>
      <x:c r="F43" s="30" t="n">
        <x:v>282.84705882352944</x:v>
      </x:c>
      <x:c r="G43" s="30" t="n">
        <x:v>341.54545454545456</x:v>
      </x:c>
      <x:c r="H43" s="30" t="n">
        <x:v>237.16883116883116</x:v>
      </x:c>
      <x:c r="I43" s="30" t="n">
        <x:v>182.72289156626505</x:v>
      </x:c>
      <x:c r="J43" s="13" t="str">
        <x:f>INDEX($C$6:$I$6,1,MATCH(MAX(C43:I43),C43:I43,0))</x:f>
        <x:v>ST50</x:v>
      </x:c>
      <x:c r="K43" s="30" t="n">
        <x:f>MAX(C43:I43)</x:f>
        <x:v>341.54545454545456</x:v>
      </x:c>
      <x:c r="L43" s="13" t="n">
        <x:f>COUNTIF(C43:I43,"&gt;"&amp;Sources!$B$11)</x:f>
        <x:v>3</x:v>
      </x:c>
    </x:row>
    <x:row r="44" ht="21" customHeight="1">
      <x:c r="A44" s="13" t="str">
        <x:v>2027-02-04</x:v>
      </x:c>
      <x:c r="B44" s="13" t="str">
        <x:v>S2</x:v>
      </x:c>
      <x:c r="C44" s="30" t="n">
        <x:v>204.65060240963857</x:v>
      </x:c>
      <x:c r="D44" s="30" t="n">
        <x:v>255.16504854368932</x:v>
      </x:c>
      <x:c r="E44" s="30" t="n">
        <x:v>263.28</x:v>
      </x:c>
      <x:c r="F44" s="30" t="n">
        <x:v>247.48039215686273</x:v>
      </x:c>
      <x:c r="G44" s="30" t="n">
        <x:v>319</x:v>
      </x:c>
      <x:c r="H44" s="30" t="n">
        <x:v>221.4512195121951</x:v>
      </x:c>
      <x:c r="I44" s="30" t="n">
        <x:v>180.2289156626506</x:v>
      </x:c>
      <x:c r="J44" s="13" t="str">
        <x:f>INDEX($C$6:$I$6,1,MATCH(MAX(C44:I44),C44:I44,0))</x:f>
        <x:v>ST50</x:v>
      </x:c>
      <x:c r="K44" s="30" t="n">
        <x:f>MAX(C44:I44)</x:f>
        <x:v>319</x:v>
      </x:c>
      <x:c r="L44" s="13" t="n">
        <x:f>COUNTIF(C44:I44,"&gt;"&amp;Sources!$B$11)</x:f>
        <x:v>3</x:v>
      </x:c>
    </x:row>
    <x:row r="45" ht="21" customHeight="1">
      <x:c r="A45" s="13" t="str">
        <x:v>2027-02-05</x:v>
      </x:c>
      <x:c r="B45" s="13" t="str">
        <x:v>S1</x:v>
      </x:c>
      <x:c r="C45" s="30" t="n">
        <x:v>205.50393700787401</x:v>
      </x:c>
      <x:c r="D45" s="30" t="n">
        <x:v>232.37383177570092</x:v>
      </x:c>
      <x:c r="E45" s="30" t="n">
        <x:v>263.59375</x:v>
      </x:c>
      <x:c r="F45" s="30" t="n">
        <x:v>249.34</x:v>
      </x:c>
      <x:c r="G45" s="30" t="n">
        <x:v>332.0897435897436</x:v>
      </x:c>
      <x:c r="H45" s="30" t="n">
        <x:v>226.81012658227849</x:v>
      </x:c>
      <x:c r="I45" s="30" t="n">
        <x:v>180.69230769230768</x:v>
      </x:c>
      <x:c r="J45" s="13" t="str">
        <x:f>INDEX($C$6:$I$6,1,MATCH(MAX(C45:I45),C45:I45,0))</x:f>
        <x:v>ST50</x:v>
      </x:c>
      <x:c r="K45" s="30" t="n">
        <x:f>MAX(C45:I45)</x:f>
        <x:v>332.0897435897436</x:v>
      </x:c>
      <x:c r="L45" s="13" t="n">
        <x:f>COUNTIF(C45:I45,"&gt;"&amp;Sources!$B$11)</x:f>
        <x:v>2</x:v>
      </x:c>
    </x:row>
    <x:row r="46" ht="21" customHeight="1">
      <x:c r="A46" s="13" t="str">
        <x:v>2027-02-05</x:v>
      </x:c>
      <x:c r="B46" s="13" t="str">
        <x:v>S2</x:v>
      </x:c>
      <x:c r="C46" s="30" t="n">
        <x:v>206.14457831325302</x:v>
      </x:c>
      <x:c r="D46" s="30" t="n">
        <x:v>254.75728155339806</x:v>
      </x:c>
      <x:c r="E46" s="30" t="n">
        <x:v>285.1818181818182</x:v>
      </x:c>
      <x:c r="F46" s="30" t="n">
        <x:v>270.13253012048193</x:v>
      </x:c>
      <x:c r="G46" s="30" t="n">
        <x:v>367.3943661971831</x:v>
      </x:c>
      <x:c r="H46" s="30" t="n">
        <x:v>257.4848484848485</x:v>
      </x:c>
      <x:c r="I46" s="30" t="n">
        <x:v>188.01538461538462</x:v>
      </x:c>
      <x:c r="J46" s="13" t="str">
        <x:f>INDEX($C$6:$I$6,1,MATCH(MAX(C46:I46),C46:I46,0))</x:f>
        <x:v>ST50</x:v>
      </x:c>
      <x:c r="K46" s="30" t="n">
        <x:f>MAX(C46:I46)</x:f>
        <x:v>367.3943661971831</x:v>
      </x:c>
      <x:c r="L46" s="13" t="n">
        <x:f>COUNTIF(C46:I46,"&gt;"&amp;Sources!$B$11)</x:f>
        <x:v>5</x:v>
      </x:c>
    </x:row>
    <x:row r="47" ht="21" customHeight="1"/>
  </x:sheetData>
  <x:conditionalFormatting sqref="C7:I46">
    <x:cfRule type="cellIs" dxfId="0" priority="1" operator="greaterThan">
      <x:formula>Sources!$B$11</x:formula>
    </x:cfRule>
  </x:conditionalFormatting>
  <x:conditionalFormatting sqref="J7:J46">
    <x:cfRule type="containsText" dxfId="1" priority="2" operator="containsText" text="ST50"/>
  </x:conditionalFormatting>
  <x:pageMargins left="0.7" right="0.7" top="0.75" bottom="0.75" header="0.3" footer="0.3"/>
  <x:drawing xmlns:r="http://schemas.openxmlformats.org/officeDocument/2006/relationships" r:id="R5b3afb31481e4332"/>
</x:worksheet>
</file>

<file path=xl/worksheets/sheet4.xml><?xml version="1.0" encoding="utf-8"?>
<x:worksheet xmlns:x="http://schemas.openxmlformats.org/spreadsheetml/2006/main">
  <x:sheetPr>
    <x:tabColor rgb="FF26734D"/>
  </x:sheetPr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2" customHeight="1"/>
    <x:row r="2" ht="22" customHeight="1">
      <x:c r="A2" s="1" t="str">
        <x:v>EMA-120 - Équilibrage initial théorique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2" customHeight="1">
      <x:c r="A4" s="3" t="str">
        <x:v>Hypothèse mathématique pour ramener ST50 au takt. Elle ne constitue pas une recommandation de mise en œuvre.</x:v>
      </x:c>
    </x:row>
    <x:row r="5" ht="22" customHeight="1"/>
    <x:row r="6" ht="42" customHeight="1">
      <x:c r="A6" s="9" t="str">
        <x:v>Poste</x:v>
      </x:c>
      <x:c r="B6" s="9" t="str">
        <x:v>CT initial (s)</x:v>
      </x:c>
      <x:c r="C6" s="9" t="str">
        <x:v>Transfert net (s)</x:v>
      </x:c>
      <x:c r="D6" s="9" t="str">
        <x:v>CT équilibré (s)</x:v>
      </x:c>
      <x:c r="E6" s="9" t="str">
        <x:v>Takt (s)</x:v>
      </x:c>
      <x:c r="F6" s="9" t="str">
        <x:v>Charge initiale</x:v>
      </x:c>
      <x:c r="G6" s="9" t="str">
        <x:v>Charge équilibrée</x:v>
      </x:c>
    </x:row>
    <x:row r="7" ht="22" customHeight="1">
      <x:c r="A7" s="21" t="str">
        <x:f>Sources!A15</x:f>
        <x:v>ST10</x:v>
      </x:c>
      <x:c r="B7" s="25" t="n">
        <x:f>Sources!C15</x:f>
        <x:v>180</x:v>
      </x:c>
      <x:c r="C7" s="25" t="n">
        <x:v>0</x:v>
      </x:c>
      <x:c r="D7" s="25" t="n">
        <x:f>B7+C7</x:f>
        <x:v>180</x:v>
      </x:c>
      <x:c r="E7" s="25" t="n">
        <x:f>Sources!$B$11</x:f>
        <x:v>251.42857142857142</x:v>
      </x:c>
      <x:c r="F7" s="37" t="n">
        <x:f>B7/E7</x:f>
        <x:v>0.7159090909090909</x:v>
      </x:c>
      <x:c r="G7" s="37" t="n">
        <x:f>D7/E7</x:f>
        <x:v>0.7159090909090909</x:v>
      </x:c>
    </x:row>
    <x:row r="8" ht="22" customHeight="1">
      <x:c r="A8" s="22" t="str">
        <x:f>Sources!A16</x:f>
        <x:v>ST20</x:v>
      </x:c>
      <x:c r="B8" s="26" t="n">
        <x:f>Sources!C16</x:f>
        <x:v>215</x:v>
      </x:c>
      <x:c r="C8" s="26" t="n">
        <x:v>0</x:v>
      </x:c>
      <x:c r="D8" s="26" t="n">
        <x:f>B8+C8</x:f>
        <x:v>215</x:v>
      </x:c>
      <x:c r="E8" s="26" t="n">
        <x:f>Sources!$B$11</x:f>
        <x:v>251.42857142857142</x:v>
      </x:c>
      <x:c r="F8" s="38" t="n">
        <x:f>B8/E8</x:f>
        <x:v>0.8551136363636364</x:v>
      </x:c>
      <x:c r="G8" s="38" t="n">
        <x:f>D8/E8</x:f>
        <x:v>0.8551136363636364</x:v>
      </x:c>
    </x:row>
    <x:row r="9" ht="22" customHeight="1">
      <x:c r="A9" s="22" t="str">
        <x:f>Sources!A17</x:f>
        <x:v>ST30</x:v>
      </x:c>
      <x:c r="B9" s="26" t="n">
        <x:f>Sources!C17</x:f>
        <x:v>240</x:v>
      </x:c>
      <x:c r="C9" s="26" t="n">
        <x:v>0</x:v>
      </x:c>
      <x:c r="D9" s="26" t="n">
        <x:f>B9+C9</x:f>
        <x:v>240</x:v>
      </x:c>
      <x:c r="E9" s="26" t="n">
        <x:f>Sources!$B$11</x:f>
        <x:v>251.42857142857142</x:v>
      </x:c>
      <x:c r="F9" s="38" t="n">
        <x:f>B9/E9</x:f>
        <x:v>0.9545454545454546</x:v>
      </x:c>
      <x:c r="G9" s="38" t="n">
        <x:f>D9/E9</x:f>
        <x:v>0.9545454545454546</x:v>
      </x:c>
    </x:row>
    <x:row r="10" ht="22" customHeight="1">
      <x:c r="A10" s="22" t="str">
        <x:f>Sources!A18</x:f>
        <x:v>ST40</x:v>
      </x:c>
      <x:c r="B10" s="26" t="n">
        <x:f>Sources!C18</x:f>
        <x:v>225</x:v>
      </x:c>
      <x:c r="C10" s="26" t="n">
        <x:v>15</x:v>
      </x:c>
      <x:c r="D10" s="26" t="n">
        <x:f>B10+C10</x:f>
        <x:v>240</x:v>
      </x:c>
      <x:c r="E10" s="26" t="n">
        <x:f>Sources!$B$11</x:f>
        <x:v>251.42857142857142</x:v>
      </x:c>
      <x:c r="F10" s="38" t="n">
        <x:f>B10/E10</x:f>
        <x:v>0.8948863636363636</x:v>
      </x:c>
      <x:c r="G10" s="38" t="n">
        <x:f>D10/E10</x:f>
        <x:v>0.9545454545454546</x:v>
      </x:c>
    </x:row>
    <x:row r="11" ht="22" customHeight="1">
      <x:c r="A11" s="22" t="str">
        <x:f>Sources!A19</x:f>
        <x:v>ST50</x:v>
      </x:c>
      <x:c r="B11" s="26" t="n">
        <x:f>Sources!C19</x:f>
        <x:v>285</x:v>
      </x:c>
      <x:c r="C11" s="26" t="n">
        <x:v>-33.571428571428584</x:v>
      </x:c>
      <x:c r="D11" s="26" t="n">
        <x:f>B11+C11</x:f>
        <x:v>251.42857142857142</x:v>
      </x:c>
      <x:c r="E11" s="26" t="n">
        <x:f>Sources!$B$11</x:f>
        <x:v>251.42857142857142</x:v>
      </x:c>
      <x:c r="F11" s="38" t="n">
        <x:f>B11/E11</x:f>
        <x:v>1.1335227272727273</x:v>
      </x:c>
      <x:c r="G11" s="38" t="n">
        <x:f>D11/E11</x:f>
        <x:v>1</x:v>
      </x:c>
    </x:row>
    <x:row r="12" ht="22" customHeight="1">
      <x:c r="A12" s="22" t="str">
        <x:f>Sources!A20</x:f>
        <x:v>ST60</x:v>
      </x:c>
      <x:c r="B12" s="26" t="n">
        <x:f>Sources!C20</x:f>
        <x:v>200</x:v>
      </x:c>
      <x:c r="C12" s="26" t="n">
        <x:v>18.571428571428584</x:v>
      </x:c>
      <x:c r="D12" s="26" t="n">
        <x:f>B12+C12</x:f>
        <x:v>218.57142857142858</x:v>
      </x:c>
      <x:c r="E12" s="26" t="n">
        <x:f>Sources!$B$11</x:f>
        <x:v>251.42857142857142</x:v>
      </x:c>
      <x:c r="F12" s="38" t="n">
        <x:f>B12/E12</x:f>
        <x:v>0.7954545454545455</x:v>
      </x:c>
      <x:c r="G12" s="38" t="n">
        <x:f>D12/E12</x:f>
        <x:v>0.8693181818181819</x:v>
      </x:c>
    </x:row>
    <x:row r="13" ht="22" customHeight="1">
      <x:c r="A13" s="22" t="str">
        <x:f>Sources!A21</x:f>
        <x:v>ST70</x:v>
      </x:c>
      <x:c r="B13" s="26" t="n">
        <x:f>Sources!C21</x:f>
        <x:v>160</x:v>
      </x:c>
      <x:c r="C13" s="26" t="n">
        <x:v>0</x:v>
      </x:c>
      <x:c r="D13" s="26" t="n">
        <x:f>B13+C13</x:f>
        <x:v>160</x:v>
      </x:c>
      <x:c r="E13" s="26" t="n">
        <x:f>Sources!$B$11</x:f>
        <x:v>251.42857142857142</x:v>
      </x:c>
      <x:c r="F13" s="38" t="n">
        <x:f>B13/E13</x:f>
        <x:v>0.6363636363636364</x:v>
      </x:c>
      <x:c r="G13" s="38" t="n">
        <x:f>D13/E13</x:f>
        <x:v>0.6363636363636364</x:v>
      </x:c>
    </x:row>
    <x:row r="14" ht="22" customHeight="1"/>
    <x:row r="15" ht="22" customHeight="1"/>
    <x:row r="16" ht="22" customHeight="1">
      <x:c r="A16" s="9" t="str">
        <x:v>Indicateur</x:v>
      </x:c>
      <x:c r="B16" s="9" t="str">
        <x:v>Valeur</x:v>
      </x:c>
    </x:row>
    <x:row r="17" ht="22" customHeight="1">
      <x:c r="A17" s="34" t="str">
        <x:v>CT maximal initial (s)</x:v>
      </x:c>
      <x:c r="B17" s="29" t="n">
        <x:f>MAX(B7:B13)</x:f>
        <x:v>285</x:v>
      </x:c>
    </x:row>
    <x:row r="18" ht="22" customHeight="1">
      <x:c r="A18" s="35" t="str">
        <x:v>CT maximal équilibré (s)</x:v>
      </x:c>
      <x:c r="B18" s="30" t="n">
        <x:f>MAX(D7:D13)</x:f>
        <x:v>251.42857142857142</x:v>
      </x:c>
    </x:row>
    <x:row r="19" ht="22" customHeight="1">
      <x:c r="A19" s="35" t="str">
        <x:v>Capacité initiale (u/j)</x:v>
      </x:c>
      <x:c r="B19" s="30" t="n">
        <x:f>Sources!B10/B17</x:f>
        <x:v>185.26315789473685</x:v>
      </x:c>
    </x:row>
    <x:row r="20" ht="22" customHeight="1">
      <x:c r="A20" s="35" t="str">
        <x:v>Capacité équilibrée (u/j)</x:v>
      </x:c>
      <x:c r="B20" s="30" t="n">
        <x:f>Sources!B10/B18</x:f>
        <x:v>210</x:v>
      </x:c>
    </x:row>
    <x:row r="21" ht="22" customHeight="1">
      <x:c r="A21" s="35" t="str">
        <x:v>Efficacité initiale</x:v>
      </x:c>
      <x:c r="B21" s="32" t="n">
        <x:f>SUM(B7:B13)/(COUNT(B7:B13)*B17)</x:f>
        <x:v>0.7543859649122807</x:v>
      </x:c>
    </x:row>
    <x:row r="22" ht="22" customHeight="1">
      <x:c r="A22" s="35" t="str">
        <x:v>Efficacité équilibrée</x:v>
      </x:c>
      <x:c r="B22" s="32" t="n">
        <x:f>SUM(D7:D13)/(COUNT(D7:D13)*B18)</x:f>
        <x:v>0.8551136363636364</x:v>
      </x:c>
    </x:row>
    <x:row r="23" ht="22" customHeight="1"/>
    <x:row r="24" ht="40" customHeight="1">
      <x:c r="A24" s="48" t="str">
        <x:v>Hypothèse de calcul</x:v>
      </x:c>
      <x:c r="B24" s="49" t="str">
        <x:v>Transférer théoriquement 15,0 s de ST50 vers ST40 et 18.6 s vers ST60. Le CT maximal passe de 285,0 s à 251,4 s.</x:v>
      </x:c>
      <x:c r="C24" s="49"/>
      <x:c r="D24" s="49"/>
      <x:c r="E24" s="49"/>
      <x:c r="F24" s="49"/>
      <x:c r="G24" s="49"/>
      <x:c r="H24" s="49"/>
      <x:c r="I24" s="49"/>
      <x:c r="J24" s="49"/>
      <x:c r="K24" s="49"/>
      <x:c r="L24" s="49"/>
      <x:c r="M24" s="49"/>
      <x:c r="N24" s="49"/>
      <x:c r="O24" s="50"/>
    </x:row>
    <x:row r="25" ht="40" customHeight="1">
      <x:c r="A25" s="51" t="str">
        <x:v>Condition obligatoire</x:v>
      </x:c>
      <x:c r="B25" s="52" t="str">
        <x:v>ST40 dépasse déjà le takt en charge observée : ce transfert n'est pas recommandé en l'état. Réduire d'abord les pertes et valider tâches, compétences, outillage, ergonomie, qualité et sécurité.</x:v>
      </x:c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3"/>
    </x:row>
    <x:row r="26" ht="22" customHeight="1"/>
  </x:sheetData>
  <x:mergeCells>
    <x:mergeCell ref="B24:O24"/>
    <x:mergeCell ref="B25:O25"/>
  </x:mergeCells>
  <x:conditionalFormatting sqref="C7:C13">
    <x:cfRule type="cellIs" dxfId="6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2ee09ab0471b4415"/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6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22" customHeight="1"/>
    <x:row r="2" ht="22" customHeight="1">
      <x:c r="A2" s="1" t="str">
        <x:v>EMA-120 - Sources et agrégats J08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3" t="str">
        <x:v>Données processed validées au J06. Les pertes non planifiées sont déjà incluses dans le temps écoulé de production.</x:v>
      </x:c>
    </x:row>
    <x:row r="5" ht="22" customHeight="1"/>
    <x:row r="6" ht="22" customHeight="1">
      <x:c r="A6" s="9" t="str">
        <x:v>Hypothèse</x:v>
      </x:c>
      <x:c r="B6" s="9" t="str">
        <x:v>Valeur</x:v>
      </x:c>
      <x:c r="C6" s="9" t="str">
        <x:v>Unité</x:v>
      </x:c>
      <x:c r="D6" s="9" t="str">
        <x:v>Origine</x:v>
      </x:c>
    </x:row>
    <x:row r="7" ht="22" customHeight="1">
      <x:c r="A7" s="12" t="str">
        <x:v>Équipes par jour</x:v>
      </x:c>
      <x:c r="B7" s="17" t="n">
        <x:v>2</x:v>
      </x:c>
      <x:c r="C7" s="12" t="str">
        <x:v>équipe/jour</x:v>
      </x:c>
      <x:c r="D7" s="12" t="str">
        <x:v>Baseline J01</x:v>
      </x:c>
    </x:row>
    <x:row r="8" ht="22" customHeight="1">
      <x:c r="A8" s="13" t="str">
        <x:v>Temps planifié par équipe</x:v>
      </x:c>
      <x:c r="B8" s="18" t="n">
        <x:v>440</x:v>
      </x:c>
      <x:c r="C8" s="13" t="str">
        <x:v>min/équipe</x:v>
      </x:c>
      <x:c r="D8" s="13" t="str">
        <x:v>Baseline J01</x:v>
      </x:c>
    </x:row>
    <x:row r="9" ht="22" customHeight="1">
      <x:c r="A9" s="13" t="str">
        <x:v>Demande client quotidienne</x:v>
      </x:c>
      <x:c r="B9" s="18" t="n">
        <x:v>210</x:v>
      </x:c>
      <x:c r="C9" s="13" t="str">
        <x:v>unités/jour</x:v>
      </x:c>
      <x:c r="D9" s="13" t="str">
        <x:v>Baseline J01</x:v>
      </x:c>
    </x:row>
    <x:row r="10" ht="22" customHeight="1">
      <x:c r="A10" s="13" t="str">
        <x:v>Temps disponible</x:v>
      </x:c>
      <x:c r="B10" s="19" t="n">
        <x:v>52800</x:v>
      </x:c>
      <x:c r="C10" s="13" t="str">
        <x:v>s/jour</x:v>
      </x:c>
      <x:c r="D10" s="13" t="str">
        <x:v>Calcul J07</x:v>
      </x:c>
    </x:row>
    <x:row r="11" ht="22" customHeight="1">
      <x:c r="A11" s="13" t="str">
        <x:v>Takt time</x:v>
      </x:c>
      <x:c r="B11" s="20" t="n">
        <x:v>251.42857142857142</x:v>
      </x:c>
      <x:c r="C11" s="13" t="str">
        <x:v>s/unité</x:v>
      </x:c>
      <x:c r="D11" s="13" t="str">
        <x:v>Calcul J07</x:v>
      </x:c>
    </x:row>
    <x:row r="12" ht="22" customHeight="1"/>
    <x:row r="13" ht="22" customHeight="1"/>
    <x:row r="14" ht="48" customHeight="1">
      <x:c r="A14" s="9" t="str">
        <x:v>Poste</x:v>
      </x:c>
      <x:c r="B14" s="9" t="str">
        <x:v>Processus</x:v>
      </x:c>
      <x:c r="C14" s="9" t="str">
        <x:v>CT standard (s)</x:v>
      </x:c>
      <x:c r="D14" s="9" t="str">
        <x:v>Premier passage</x:v>
      </x:c>
      <x:c r="E14" s="9" t="str">
        <x:v>Reprises</x:v>
      </x:c>
      <x:c r="F14" s="9" t="str">
        <x:v>Changements</x:v>
      </x:c>
      <x:c r="G14" s="9" t="str">
        <x:v>Charge nette 1er passage (s/u)</x:v>
      </x:c>
      <x:c r="H14" s="9" t="str">
        <x:v>Charge nette reprise (s/u)</x:v>
      </x:c>
      <x:c r="I14" s="9" t="str">
        <x:v>Charge arrêt non planifié (s/u)</x:v>
      </x:c>
      <x:c r="J14" s="9" t="str">
        <x:v>Charge changement série (s/u)</x:v>
      </x:c>
      <x:c r="K14" s="9" t="str">
        <x:v>Arrêts non planifiés (s)</x:v>
      </x:c>
      <x:c r="L14" s="9" t="str">
        <x:v>Changements planifiés (s)</x:v>
      </x:c>
      <x:c r="M14" s="9" t="str">
        <x:v>P95 charge par équipe (s/u)</x:v>
      </x:c>
      <x:c r="N14" s="9" t="str">
        <x:v>Max charge par équipe (s/u)</x:v>
      </x:c>
    </x:row>
    <x:row r="15" ht="22" customHeight="1">
      <x:c r="A15" s="21" t="str">
        <x:v>ST10</x:v>
      </x:c>
      <x:c r="B15" s="21" t="str">
        <x:v>Kitting et vérification</x:v>
      </x:c>
      <x:c r="C15" s="23" t="n">
        <x:v>180</x:v>
      </x:c>
      <x:c r="D15" s="23" t="n">
        <x:v>4200</x:v>
      </x:c>
      <x:c r="E15" s="23" t="n">
        <x:v>0</x:v>
      </x:c>
      <x:c r="F15" s="23" t="n">
        <x:v>59</x:v>
      </x:c>
      <x:c r="G15" s="25" t="n">
        <x:v>182.33428571428573</x:v>
      </x:c>
      <x:c r="H15" s="25" t="n">
        <x:v>0</x:v>
      </x:c>
      <x:c r="I15" s="25" t="n">
        <x:v>0.8585714285714285</x:v>
      </x:c>
      <x:c r="J15" s="25" t="n">
        <x:v>21.071428571428573</x:v>
      </x:c>
      <x:c r="K15" s="23" t="n">
        <x:v>3606</x:v>
      </x:c>
      <x:c r="L15" s="23" t="n">
        <x:v>88500</x:v>
      </x:c>
      <x:c r="M15" s="25" t="n">
        <x:v>206.2452755905512</x:v>
      </x:c>
      <x:c r="N15" s="25" t="n">
        <x:v>206.8503937007874</x:v>
      </x:c>
    </x:row>
    <x:row r="16" ht="22" customHeight="1">
      <x:c r="A16" s="22" t="str">
        <x:v>ST20</x:v>
      </x:c>
      <x:c r="B16" s="22" t="str">
        <x:v>Préassemblage mécanique</x:v>
      </x:c>
      <x:c r="C16" s="24" t="n">
        <x:v>215</x:v>
      </x:c>
      <x:c r="D16" s="24" t="n">
        <x:v>4198</x:v>
      </x:c>
      <x:c r="E16" s="24" t="n">
        <x:v>0</x:v>
      </x:c>
      <x:c r="F16" s="24" t="n">
        <x:v>59</x:v>
      </x:c>
      <x:c r="G16" s="26" t="n">
        <x:v>219.0759885659838</x:v>
      </x:c>
      <x:c r="H16" s="26" t="n">
        <x:v>0</x:v>
      </x:c>
      <x:c r="I16" s="26" t="n">
        <x:v>2.3797046212482136</x:v>
      </x:c>
      <x:c r="J16" s="26" t="n">
        <x:v>21.081467365412102</x:v>
      </x:c>
      <x:c r="K16" s="24" t="n">
        <x:v>9990</x:v>
      </x:c>
      <x:c r="L16" s="24" t="n">
        <x:v>88500</x:v>
      </x:c>
      <x:c r="M16" s="26" t="n">
        <x:v>255.19454121454407</x:v>
      </x:c>
      <x:c r="N16" s="26" t="n">
        <x:v>262.7878787878788</x:v>
      </x:c>
    </x:row>
    <x:row r="17" ht="22" customHeight="1">
      <x:c r="A17" s="22" t="str">
        <x:v>ST30</x:v>
      </x:c>
      <x:c r="B17" s="22" t="str">
        <x:v>Montage arbre et roulements</x:v>
      </x:c>
      <x:c r="C17" s="24" t="n">
        <x:v>240</x:v>
      </x:c>
      <x:c r="D17" s="24" t="n">
        <x:v>3826</x:v>
      </x:c>
      <x:c r="E17" s="24" t="n">
        <x:v>0</x:v>
      </x:c>
      <x:c r="F17" s="24" t="n">
        <x:v>54</x:v>
      </x:c>
      <x:c r="G17" s="26" t="n">
        <x:v>245.40198640878202</x:v>
      </x:c>
      <x:c r="H17" s="26" t="n">
        <x:v>0</x:v>
      </x:c>
      <x:c r="I17" s="26" t="n">
        <x:v>4.746471510716153</x:v>
      </x:c>
      <x:c r="J17" s="26" t="n">
        <x:v>21.17093570308416</x:v>
      </x:c>
      <x:c r="K17" s="24" t="n">
        <x:v>18160</x:v>
      </x:c>
      <x:c r="L17" s="24" t="n">
        <x:v>81000</x:v>
      </x:c>
      <x:c r="M17" s="26" t="n">
        <x:v>292.30224719101125</x:v>
      </x:c>
      <x:c r="N17" s="26" t="n">
        <x:v>295.40449438202245</x:v>
      </x:c>
    </x:row>
    <x:row r="18" ht="22" customHeight="1">
      <x:c r="A18" s="22" t="str">
        <x:v>ST40</x:v>
      </x:c>
      <x:c r="B18" s="22" t="str">
        <x:v>Assemblage et serrage contrôlé</x:v>
      </x:c>
      <x:c r="C18" s="24" t="n">
        <x:v>225</x:v>
      </x:c>
      <x:c r="D18" s="24" t="n">
        <x:v>3821</x:v>
      </x:c>
      <x:c r="E18" s="24" t="n">
        <x:v>24</x:v>
      </x:c>
      <x:c r="F18" s="24" t="n">
        <x:v>54</x:v>
      </x:c>
      <x:c r="G18" s="26" t="n">
        <x:v>230.32844805024862</x:v>
      </x:c>
      <x:c r="H18" s="26" t="n">
        <x:v>1.67416906568961</x:v>
      </x:c>
      <x:c r="I18" s="26" t="n">
        <x:v>2.439937189217482</x:v>
      </x:c>
      <x:c r="J18" s="26" t="n">
        <x:v>21.198639099712118</x:v>
      </x:c>
      <x:c r="K18" s="24" t="n">
        <x:v>9323</x:v>
      </x:c>
      <x:c r="L18" s="24" t="n">
        <x:v>81000</x:v>
      </x:c>
      <x:c r="M18" s="26" t="n">
        <x:v>276.0443181818182</x:v>
      </x:c>
      <x:c r="N18" s="26" t="n">
        <x:v>282.84705882352944</x:v>
      </x:c>
    </x:row>
    <x:row r="19" ht="22" customHeight="1">
      <x:c r="A19" s="22" t="str">
        <x:v>ST50</x:v>
      </x:c>
      <x:c r="B19" s="22" t="str">
        <x:v>Essai fonctionnel</x:v>
      </x:c>
      <x:c r="C19" s="24" t="n">
        <x:v>285</x:v>
      </x:c>
      <x:c r="D19" s="24" t="n">
        <x:v>3156</x:v>
      </x:c>
      <x:c r="E19" s="24" t="n">
        <x:v>68</x:v>
      </x:c>
      <x:c r="F19" s="24" t="n">
        <x:v>45</x:v>
      </x:c>
      <x:c r="G19" s="26" t="n">
        <x:v>292.5361216730038</x:v>
      </x:c>
      <x:c r="H19" s="26" t="n">
        <x:v>7.238910012674271</x:v>
      </x:c>
      <x:c r="I19" s="26" t="n">
        <x:v>8.24936628643853</x:v>
      </x:c>
      <x:c r="J19" s="26" t="n">
        <x:v>21.38783269961977</x:v>
      </x:c>
      <x:c r="K19" s="24" t="n">
        <x:v>26035</x:v>
      </x:c>
      <x:c r="L19" s="24" t="n">
        <x:v>67500</x:v>
      </x:c>
      <x:c r="M19" s="26" t="n">
        <x:v>362.2037460876369</x:v>
      </x:c>
      <x:c r="N19" s="26" t="n">
        <x:v>374.8285714285714</x:v>
      </x:c>
    </x:row>
    <x:row r="20" ht="22" customHeight="1">
      <x:c r="A20" s="22" t="str">
        <x:v>ST60</x:v>
      </x:c>
      <x:c r="B20" s="22" t="str">
        <x:v>Contrôle qualité</x:v>
      </x:c>
      <x:c r="C20" s="24" t="n">
        <x:v>200</x:v>
      </x:c>
      <x:c r="D20" s="24" t="n">
        <x:v>3148</x:v>
      </x:c>
      <x:c r="E20" s="24" t="n">
        <x:v>40</x:v>
      </x:c>
      <x:c r="F20" s="24" t="n">
        <x:v>45</x:v>
      </x:c>
      <x:c r="G20" s="26" t="n">
        <x:v>203.74110546378654</x:v>
      </x:c>
      <x:c r="H20" s="26" t="n">
        <x:v>2.985705209656925</x:v>
      </x:c>
      <x:c r="I20" s="26" t="n">
        <x:v>1.6607369758576873</x:v>
      </x:c>
      <x:c r="J20" s="26" t="n">
        <x:v>21.44218551461245</x:v>
      </x:c>
      <x:c r="K20" s="24" t="n">
        <x:v>5228</x:v>
      </x:c>
      <x:c r="L20" s="24" t="n">
        <x:v>67500</x:v>
      </x:c>
      <x:c r="M20" s="26" t="n">
        <x:v>257.61128173628174</x:v>
      </x:c>
      <x:c r="N20" s="26" t="n">
        <x:v>260.056338028169</x:v>
      </x:c>
    </x:row>
    <x:row r="21" ht="22" customHeight="1">
      <x:c r="A21" s="22" t="str">
        <x:v>ST70</x:v>
      </x:c>
      <x:c r="B21" s="22" t="str">
        <x:v>Identification et conditionnement</x:v>
      </x:c>
      <x:c r="C21" s="24" t="n">
        <x:v>160</x:v>
      </x:c>
      <x:c r="D21" s="24" t="n">
        <x:v>3144</x:v>
      </x:c>
      <x:c r="E21" s="24" t="n">
        <x:v>0</x:v>
      </x:c>
      <x:c r="F21" s="24" t="n">
        <x:v>44</x:v>
      </x:c>
      <x:c r="G21" s="26" t="n">
        <x:v>162.16125954198472</x:v>
      </x:c>
      <x:c r="H21" s="26" t="n">
        <x:v>0</x:v>
      </x:c>
      <x:c r="I21" s="26" t="n">
        <x:v>0.5356234096692112</x:v>
      </x:c>
      <x:c r="J21" s="26" t="n">
        <x:v>20.99236641221374</x:v>
      </x:c>
      <x:c r="K21" s="24" t="n">
        <x:v>1684</x:v>
      </x:c>
      <x:c r="L21" s="24" t="n">
        <x:v>66000</x:v>
      </x:c>
      <x:c r="M21" s="26" t="n">
        <x:v>203.97108303956128</x:v>
      </x:c>
      <x:c r="N21" s="26" t="n">
        <x:v>211.65151515151516</x:v>
      </x:c>
    </x:row>
    <x:row r="22" ht="22" customHeight="1"/>
    <x:row r="23" ht="22" customHeight="1"/>
    <x:row r="24" ht="22" customHeight="1">
      <x:c r="A24" s="9" t="str">
        <x:v>Fichier</x:v>
      </x:c>
      <x:c r="B24" s="9" t="str">
        <x:v>Statut</x:v>
      </x:c>
      <x:c r="C24" s="9" t="str">
        <x:v>SHA-256</x:v>
      </x:c>
      <x:c r="D24" s="9" t="str">
        <x:v>Rôle</x:v>
      </x:c>
    </x:row>
    <x:row r="25" ht="22" customHeight="1">
      <x:c r="A25" s="12" t="str">
        <x:v>production.csv</x:v>
      </x:c>
      <x:c r="B25" s="27" t="str">
        <x:v>PASS</x:v>
      </x:c>
      <x:c r="C25" s="12" t="str">
        <x:v>9ea5cfff8bb382759bff0dedc4c85eccb2fa197b40844bce1e6eed8b4c426508</x:v>
      </x:c>
      <x:c r="D25" s="12" t="str">
        <x:v>Cycles, reprises et arrêts recouvrants</x:v>
      </x:c>
    </x:row>
    <x:row r="26" ht="22" customHeight="1">
      <x:c r="A26" s="13" t="str">
        <x:v>downtime.csv</x:v>
      </x:c>
      <x:c r="B26" s="28" t="str">
        <x:v>PASS</x:v>
      </x:c>
      <x:c r="C26" s="13" t="str">
        <x:v>9db00b36a1ee0bbf7d3703f0f8ef48de4c5b24b77bbee6f20f760921d30ece23</x:v>
      </x:c>
      <x:c r="D26" s="13" t="str">
        <x:v>Arrêts planifiés et non planifiés</x:v>
      </x:c>
    </x:row>
    <x:row r="27" ht="22" customHeight="1">
      <x:c r="A27" s="13" t="str">
        <x:v>changeovers.csv</x:v>
      </x:c>
      <x:c r="B27" s="28" t="str">
        <x:v>PASS</x:v>
      </x:c>
      <x:c r="C27" s="13" t="str">
        <x:v>d8c34be6f13b2ad72bea9640ca6bf0ab5787dd1b3603f88211531d315e5361a1</x:v>
      </x:c>
      <x:c r="D27" s="13" t="str">
        <x:v>Durées de changement de série</x:v>
      </x:c>
    </x:row>
    <x:row r="28" ht="22" customHeight="1">
      <x:c r="A28" s="13" t="str">
        <x:v>validation_summary.json</x:v>
      </x:c>
      <x:c r="B28" s="28" t="str">
        <x:v>PASS</x:v>
      </x:c>
      <x:c r="C28" s="13" t="str">
        <x:v>Voir rapport J06</x:v>
      </x:c>
      <x:c r="D28" s="13" t="str">
        <x:v>39 contrôles validés</x:v>
      </x:c>
    </x:row>
    <x:row r="29" ht="22" customHeight="1"/>
    <x:row r="30" ht="22" customHeight="1"/>
  </x:sheetData>
  <x:pageMargins left="0.7" right="0.7" top="0.75" bottom="0.75" header="0.3" footer="0.3"/>
</x:worksheet>
</file>