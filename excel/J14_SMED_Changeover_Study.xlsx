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9e6cdd636244d5" /></Relationships>
</file>

<file path=xl/workbook.xml><?xml version="1.0" encoding="utf-8"?>
<x:workbook xmlns:x="http://schemas.openxmlformats.org/spreadsheetml/2006/main">
  <x:sheets>
    <x:sheet xmlns:r="http://schemas.openxmlformats.org/officeDocument/2006/relationships" name="Synthèse" sheetId="1" r:id="Rab2f37180f844ca4"/>
    <x:sheet xmlns:r="http://schemas.openxmlformats.org/officeDocument/2006/relationships" name="Étude SMED" sheetId="2" r:id="Rc5989dcfed714541"/>
    <x:sheet xmlns:r="http://schemas.openxmlformats.org/officeDocument/2006/relationships" name="Standard proposé" sheetId="3" r:id="R341aa8c6edb14c92"/>
    <x:sheet xmlns:r="http://schemas.openxmlformats.org/officeDocument/2006/relationships" name="Impact" sheetId="4" r:id="R2807fee45a14495e"/>
    <x:sheet xmlns:r="http://schemas.openxmlformats.org/officeDocument/2006/relationships" name="Sources" sheetId="5" r:id="R99238b261206482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0%"/>
    <x:numFmt numFmtId="202" formatCode="0"/>
    <x:numFmt numFmtId="203" formatCode="0.0"/>
    <x:numFmt numFmtId="204" formatCode="0.0 &quot;min&quot;"/>
    <x:numFmt numFmtId="205" formatCode="0.000 &quot;h&quot;"/>
  </x:numFmts>
  <x:fonts count="18">
    <x:font>
      <x:sz val="11"/>
      <x:name val="Carlito"/>
    </x:font>
    <x:font>
      <x:sz val="10"/>
      <x:color rgb="FF16202A"/>
      <x:name val="Arial"/>
    </x:font>
    <x:font>
      <x:b/>
      <x:sz val="19"/>
      <x:color rgb="FFFFFFFF"/>
      <x:name val="Arial"/>
    </x:font>
    <x:font>
      <x:i/>
      <x:sz val="10"/>
      <x:color rgb="FF0A1F33"/>
      <x:name val="Arial"/>
    </x:font>
    <x:font>
      <x:b/>
      <x:sz val="11"/>
      <x:color rgb="FFFFFFFF"/>
      <x:name val="Arial"/>
    </x:font>
    <x:font>
      <x:b/>
      <x:sz val="9"/>
      <x:color rgb="FFFFFFFF"/>
      <x:name val="Arial"/>
    </x:font>
    <x:font>
      <x:b/>
      <x:sz val="10"/>
      <x:color rgb="FF0A1F33"/>
      <x:name val="Arial"/>
    </x:font>
    <x:font>
      <x:b/>
      <x:sz val="10"/>
      <x:color rgb="FF16202A"/>
      <x:name val="Arial"/>
    </x:font>
    <x:font>
      <x:b/>
      <x:sz val="10"/>
      <x:color rgb="FFFFFFFF"/>
      <x:name val="Arial"/>
    </x:font>
    <x:font>
      <x:b/>
      <x:sz val="12"/>
      <x:color rgb="FF26734D"/>
      <x:name val="Arial"/>
    </x:font>
    <x:font>
      <x:b/>
      <x:sz val="10"/>
      <x:color rgb="FFC0392B"/>
      <x:name val="Arial"/>
    </x:font>
    <x:font>
      <x:b/>
      <x:sz val="11"/>
      <x:color rgb="FF16202A"/>
      <x:name val="Arial"/>
    </x:font>
    <x:font>
      <x:b/>
      <x:sz val="9"/>
      <x:color rgb="FF64748B"/>
      <x:name val="Arial"/>
    </x:font>
    <x:font>
      <x:b/>
      <x:sz val="18"/>
      <x:color rgb="FFC0392B"/>
      <x:name val="Arial"/>
    </x:font>
    <x:font>
      <x:b/>
      <x:sz val="18"/>
      <x:color rgb="FFE67E22"/>
      <x:name val="Arial"/>
    </x:font>
    <x:font>
      <x:b/>
      <x:sz val="18"/>
      <x:color rgb="FF26734D"/>
      <x:name val="Arial"/>
    </x:font>
    <x:font>
      <x:b/>
      <x:sz val="18"/>
      <x:color rgb="FF0B63CE"/>
      <x:name val="Arial"/>
    </x:font>
    <x:font>
      <x:b/>
      <x:sz val="11"/>
      <x:color rgb="FF26734D"/>
      <x:name val="Arial"/>
    </x:font>
  </x:fonts>
  <x:fills count="11">
    <x:fill>
      <x:patternFill patternType="none"/>
    </x:fill>
    <x:fill>
      <x:patternFill patternType="gray125"/>
    </x:fill>
    <x:fill>
      <x:patternFill patternType="solid">
        <x:fgColor rgb="FF0A1F33"/>
      </x:patternFill>
    </x:fill>
    <x:fill>
      <x:patternFill patternType="solid">
        <x:fgColor rgb="FF28B8D5"/>
      </x:patternFill>
    </x:fill>
    <x:fill>
      <x:patternFill patternType="solid">
        <x:fgColor rgb="FFEAF3FF"/>
      </x:patternFill>
    </x:fill>
    <x:fill>
      <x:patternFill patternType="solid">
        <x:fgColor rgb="FF0B63CE"/>
      </x:patternFill>
    </x:fill>
    <x:fill>
      <x:patternFill patternType="solid">
        <x:fgColor rgb="FFFFFFFF"/>
      </x:patternFill>
    </x:fill>
    <x:fill>
      <x:patternFill patternType="solid">
        <x:fgColor rgb="FFF4F7FA"/>
      </x:patternFill>
    </x:fill>
    <x:fill>
      <x:patternFill patternType="solid">
        <x:fgColor rgb="FFFFF2CC"/>
      </x:patternFill>
    </x:fill>
    <x:fill>
      <x:patternFill patternType="solid">
        <x:fgColor rgb="FFE2F0D9"/>
      </x:patternFill>
    </x:fill>
    <x:fill>
      <x:patternFill patternType="solid">
        <x:fgColor rgb="FFFDE9E7"/>
      </x:patternFill>
    </x:fill>
  </x:fills>
  <x:borders count="44">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E67E22"/>
      </x:left>
      <x:top style="thin">
        <x:color rgb="FFE67E22"/>
      </x:top>
    </x:border>
    <x:border>
      <x:top style="thin">
        <x:color rgb="FFE67E22"/>
      </x:top>
    </x:border>
    <x:border>
      <x:right style="thin">
        <x:color rgb="FFE67E22"/>
      </x:right>
      <x:top style="thin">
        <x:color rgb="FFE67E22"/>
      </x:top>
    </x:border>
    <x:border>
      <x:left style="thin">
        <x:color rgb="FFE67E22"/>
      </x:left>
      <x:bottom style="thin">
        <x:color rgb="FFE67E22"/>
      </x:bottom>
    </x:border>
    <x:border>
      <x:bottom style="thin">
        <x:color rgb="FFE67E22"/>
      </x:bottom>
    </x:border>
    <x:border>
      <x:right style="thin">
        <x:color rgb="FFE67E22"/>
      </x:right>
      <x:bottom style="thin">
        <x:color rgb="FFE67E22"/>
      </x:bottom>
    </x:border>
    <x:border>
      <x:left style="thin">
        <x:color rgb="FF26734D"/>
      </x:left>
      <x:top style="thin">
        <x:color rgb="FF26734D"/>
      </x:top>
    </x:border>
    <x:border>
      <x:top style="thin">
        <x:color rgb="FF26734D"/>
      </x:top>
    </x:border>
    <x:border>
      <x:right style="thin">
        <x:color rgb="FF26734D"/>
      </x:right>
      <x:top style="thin">
        <x:color rgb="FF26734D"/>
      </x:top>
    </x:border>
    <x:border>
      <x:left style="thin">
        <x:color rgb="FF26734D"/>
      </x:left>
      <x:bottom style="thin">
        <x:color rgb="FF26734D"/>
      </x:bottom>
    </x:border>
    <x:border>
      <x:bottom style="thin">
        <x:color rgb="FF26734D"/>
      </x:bottom>
    </x:border>
    <x:border>
      <x:right style="thin">
        <x:color rgb="FF26734D"/>
      </x:right>
      <x:bottom style="thin">
        <x:color rgb="FF26734D"/>
      </x:bottom>
    </x:border>
    <x:border>
      <x:left style="thin">
        <x:color rgb="FFC0392B"/>
      </x:left>
      <x:top style="thin">
        <x:color rgb="FFC0392B"/>
      </x:top>
    </x:border>
    <x:border>
      <x:top style="thin">
        <x:color rgb="FFC0392B"/>
      </x:top>
    </x:border>
    <x:border>
      <x:right style="thin">
        <x:color rgb="FFC0392B"/>
      </x:right>
      <x:top style="thin">
        <x:color rgb="FFC0392B"/>
      </x:top>
    </x:border>
    <x:border>
      <x:left style="thin">
        <x:color rgb="FFC0392B"/>
      </x:left>
    </x:border>
    <x:border>
      <x:right style="thin">
        <x:color rgb="FFC0392B"/>
      </x:right>
    </x:border>
    <x:border>
      <x:left style="thin">
        <x:color rgb="FFC0392B"/>
      </x:left>
      <x:bottom style="thin">
        <x:color rgb="FFC0392B"/>
      </x:bottom>
    </x:border>
    <x:border>
      <x:bottom style="thin">
        <x:color rgb="FFC0392B"/>
      </x:bottom>
    </x:border>
    <x:border>
      <x:right style="thin">
        <x:color rgb="FFC0392B"/>
      </x:right>
      <x:bottom style="thin">
        <x:color rgb="FFC0392B"/>
      </x:bottom>
    </x:border>
    <x:border>
      <x:left style="thin">
        <x:color rgb="FFE67E22"/>
      </x:left>
    </x:border>
    <x:border>
      <x:right style="thin">
        <x:color rgb="FFE67E22"/>
      </x:right>
    </x:border>
    <x:border>
      <x:left style="thin">
        <x:color rgb="FF0B63CE"/>
      </x:left>
      <x:top style="thin">
        <x:color rgb="FF0B63CE"/>
      </x:top>
    </x:border>
    <x:border>
      <x:top style="thin">
        <x:color rgb="FF0B63CE"/>
      </x:top>
    </x:border>
    <x:border>
      <x:right style="thin">
        <x:color rgb="FF0B63CE"/>
      </x:right>
      <x:top style="thin">
        <x:color rgb="FF0B63CE"/>
      </x:top>
    </x:border>
    <x:border>
      <x:left style="thin">
        <x:color rgb="FF0B63CE"/>
      </x:left>
    </x:border>
    <x:border>
      <x:right style="thin">
        <x:color rgb="FF0B63CE"/>
      </x:right>
    </x:border>
    <x:border>
      <x:left style="thin">
        <x:color rgb="FF0B63CE"/>
      </x:left>
      <x:bottom style="thin">
        <x:color rgb="FF0B63CE"/>
      </x:bottom>
    </x:border>
    <x:border>
      <x:bottom style="thin">
        <x:color rgb="FF0B63CE"/>
      </x:bottom>
    </x:border>
    <x:border>
      <x:right style="thin">
        <x:color rgb="FF0B63CE"/>
      </x:right>
      <x:bottom style="thin">
        <x:color rgb="FF0B63CE"/>
      </x:bottom>
    </x:border>
    <x:border>
      <x:left style="thin">
        <x:color rgb="FF26734D"/>
      </x:left>
    </x:border>
    <x:border>
      <x:right style="thin">
        <x:color rgb="FF26734D"/>
      </x:right>
    </x:border>
  </x:borders>
  <x:cellStyleXfs count="1">
    <x:xf numFmtId="0" fontId="0" fillId="0" borderId="0"/>
  </x:cellStyleXfs>
  <x:cellXfs count="27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4" fillId="2"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5" fillId="5" borderId="1" xfId="0" applyNumberFormat="1" applyFont="1" applyFill="1" applyBorder="1" applyAlignment="1">
      <x:alignment vertical="center"/>
    </x:xf>
    <x:xf numFmtId="0" fontId="5" fillId="5" borderId="2" xfId="0" applyNumberFormat="1" applyFont="1" applyFill="1" applyBorder="1" applyAlignment="1">
      <x:alignment vertical="center"/>
    </x:xf>
    <x:xf numFmtId="0" fontId="5" fillId="5" borderId="3" xfId="0" applyNumberFormat="1" applyFont="1" applyFill="1" applyBorder="1" applyAlignment="1">
      <x:alignment vertical="center"/>
    </x:xf>
    <x:xf numFmtId="0" fontId="5" fillId="5" borderId="1" xfId="0" applyNumberFormat="1" applyFont="1" applyFill="1" applyBorder="1" applyAlignment="1">
      <x:alignment vertical="center" wrapText="1"/>
    </x:xf>
    <x:xf numFmtId="0" fontId="5" fillId="5" borderId="2" xfId="0" applyNumberFormat="1" applyFont="1" applyFill="1" applyBorder="1" applyAlignment="1">
      <x:alignment vertical="center" wrapText="1"/>
    </x:xf>
    <x:xf numFmtId="0" fontId="5" fillId="5" borderId="3" xfId="0" applyNumberFormat="1" applyFont="1" applyFill="1" applyBorder="1" applyAlignment="1">
      <x:alignment vertical="center" wrapText="1"/>
    </x:xf>
    <x:xf numFmtId="0" fontId="5" fillId="5" borderId="1" xfId="0" applyNumberFormat="1" applyFont="1" applyFill="1" applyBorder="1" applyAlignment="1">
      <x:alignment horizontal="center" vertic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1" fillId="6" borderId="0" xfId="0" applyNumberFormat="1" applyFont="1" applyFill="1" applyBorder="1" applyAlignment="1">
      <x:alignment vertical="center"/>
    </x:xf>
    <x:xf numFmtId="0" fontId="1" fillId="6" borderId="4" xfId="0" applyNumberFormat="1" applyFont="1" applyFill="1" applyBorder="1" applyAlignment="1">
      <x:alignment vertical="center"/>
    </x:xf>
    <x:xf numFmtId="0" fontId="1" fillId="6" borderId="5" xfId="0" applyNumberFormat="1" applyFont="1" applyFill="1" applyBorder="1" applyAlignment="1">
      <x:alignment vertical="center"/>
    </x:xf>
    <x:xf numFmtId="0" fontId="1" fillId="6" borderId="6" xfId="0" applyNumberFormat="1" applyFont="1" applyFill="1" applyBorder="1" applyAlignment="1">
      <x:alignment vertical="center"/>
    </x:xf>
    <x:xf numFmtId="0" fontId="1" fillId="6" borderId="7" xfId="0" applyNumberFormat="1" applyFont="1" applyFill="1" applyBorder="1" applyAlignment="1">
      <x:alignment vertical="center"/>
    </x:xf>
    <x:xf numFmtId="0" fontId="1" fillId="6" borderId="8" xfId="0" applyNumberFormat="1" applyFont="1" applyFill="1" applyBorder="1" applyAlignment="1">
      <x:alignment vertical="center"/>
    </x:xf>
    <x:xf numFmtId="0" fontId="1" fillId="6" borderId="9" xfId="0" applyNumberFormat="1" applyFont="1" applyFill="1" applyBorder="1" applyAlignment="1">
      <x:alignment vertical="center"/>
    </x:xf>
    <x:xf numFmtId="0" fontId="1" fillId="6" borderId="10" xfId="0" applyNumberFormat="1" applyFont="1" applyFill="1" applyBorder="1" applyAlignment="1">
      <x:alignment vertical="center"/>
    </x:xf>
    <x:xf numFmtId="0" fontId="1" fillId="6" borderId="11" xfId="0" applyNumberFormat="1" applyFont="1" applyFill="1" applyBorder="1" applyAlignment="1">
      <x:alignment vertical="center"/>
    </x:xf>
    <x:xf numFmtId="200" fontId="1" fillId="6" borderId="5" xfId="0" applyNumberFormat="1" applyFont="1" applyFill="1" applyBorder="1" applyAlignment="1">
      <x:alignment vertical="center"/>
    </x:xf>
    <x:xf numFmtId="200" fontId="1" fillId="6" borderId="0" xfId="0" applyNumberFormat="1" applyFont="1" applyFill="1" applyBorder="1" applyAlignment="1">
      <x:alignment vertical="center"/>
    </x:xf>
    <x:xf numFmtId="200" fontId="1" fillId="6" borderId="10"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6" borderId="0" xfId="0" applyNumberFormat="1" applyFont="1" applyFill="1" applyBorder="1" applyAlignment="1">
      <x:alignment vertical="center"/>
    </x:xf>
    <x:xf numFmtId="0" fontId="1" fillId="6" borderId="5"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6" borderId="10" xfId="0" applyNumberFormat="1" applyFont="1" applyFill="1" applyBorder="1" applyAlignment="1">
      <x:alignment vertical="center" wrapText="1"/>
    </x:xf>
    <x:xf numFmtId="0" fontId="1" fillId="6" borderId="6" xfId="0" applyNumberFormat="1" applyFont="1" applyFill="1" applyBorder="1" applyAlignment="1">
      <x:alignment vertical="center" wrapText="1"/>
    </x:xf>
    <x:xf numFmtId="0" fontId="1" fillId="6" borderId="8" xfId="0" applyNumberFormat="1" applyFont="1" applyFill="1" applyBorder="1" applyAlignment="1">
      <x:alignment vertical="center" wrapText="1"/>
    </x:xf>
    <x:xf numFmtId="0" fontId="1" fillId="6" borderId="11" xfId="0" applyNumberFormat="1" applyFont="1" applyFill="1" applyBorder="1" applyAlignment="1">
      <x:alignment vertical="center" wrapText="1"/>
    </x:xf>
    <x:xf numFmtId="202" fontId="1" fillId="6" borderId="5" xfId="0" applyNumberFormat="1" applyFont="1" applyFill="1" applyBorder="1" applyAlignment="1">
      <x:alignment vertical="center"/>
    </x:xf>
    <x:xf numFmtId="202" fontId="1" fillId="6" borderId="5" xfId="0" applyNumberFormat="1" applyFont="1" applyFill="1" applyBorder="1" applyAlignment="1">
      <x:alignment vertical="center" wrapText="1"/>
    </x:xf>
    <x:xf numFmtId="202" fontId="1" fillId="6" borderId="0" xfId="0" applyNumberFormat="1" applyFont="1" applyFill="1" applyBorder="1" applyAlignment="1">
      <x:alignment vertical="center"/>
    </x:xf>
    <x:xf numFmtId="202" fontId="1" fillId="6" borderId="0" xfId="0" applyNumberFormat="1" applyFont="1" applyFill="1" applyBorder="1" applyAlignment="1">
      <x:alignment vertical="center" wrapText="1"/>
    </x:xf>
    <x:xf numFmtId="202" fontId="1" fillId="6" borderId="10" xfId="0" applyNumberFormat="1" applyFont="1" applyFill="1" applyBorder="1" applyAlignment="1">
      <x:alignment vertical="center"/>
    </x:xf>
    <x:xf numFmtId="202" fontId="1" fillId="6" borderId="10" xfId="0" applyNumberFormat="1" applyFont="1" applyFill="1" applyBorder="1" applyAlignment="1">
      <x:alignment vertical="center" wrapText="1"/>
    </x:xf>
    <x:xf numFmtId="0" fontId="1" fillId="7" borderId="0" xfId="0" applyNumberFormat="1" applyFont="1" applyFill="1" applyBorder="1" applyAlignment="1">
      <x:alignment vertical="center"/>
    </x:xf>
    <x:xf numFmtId="0" fontId="1" fillId="7" borderId="4" xfId="0" applyNumberFormat="1" applyFont="1" applyFill="1" applyBorder="1" applyAlignment="1">
      <x:alignment vertical="center"/>
    </x:xf>
    <x:xf numFmtId="0" fontId="1" fillId="7" borderId="5" xfId="0" applyNumberFormat="1" applyFont="1" applyFill="1" applyBorder="1" applyAlignment="1">
      <x:alignment vertical="center"/>
    </x:xf>
    <x:xf numFmtId="0" fontId="1" fillId="7" borderId="6" xfId="0" applyNumberFormat="1" applyFont="1" applyFill="1" applyBorder="1" applyAlignment="1">
      <x:alignment vertical="center"/>
    </x:xf>
    <x:xf numFmtId="0" fontId="1" fillId="7" borderId="7" xfId="0" applyNumberFormat="1" applyFont="1" applyFill="1" applyBorder="1" applyAlignment="1">
      <x:alignment vertical="center"/>
    </x:xf>
    <x:xf numFmtId="0" fontId="1" fillId="7" borderId="8" xfId="0" applyNumberFormat="1" applyFont="1" applyFill="1" applyBorder="1" applyAlignment="1">
      <x:alignment vertical="center"/>
    </x:xf>
    <x:xf numFmtId="0" fontId="1" fillId="7" borderId="9" xfId="0" applyNumberFormat="1" applyFont="1" applyFill="1" applyBorder="1" applyAlignment="1">
      <x:alignment vertical="center"/>
    </x:xf>
    <x:xf numFmtId="0" fontId="1" fillId="7" borderId="10" xfId="0" applyNumberFormat="1" applyFont="1" applyFill="1" applyBorder="1" applyAlignment="1">
      <x:alignment vertical="center"/>
    </x:xf>
    <x:xf numFmtId="0" fontId="1" fillId="7" borderId="11" xfId="0" applyNumberFormat="1" applyFont="1" applyFill="1" applyBorder="1" applyAlignment="1">
      <x:alignment vertical="center"/>
    </x:xf>
    <x:xf numFmtId="0" fontId="6" fillId="7" borderId="4" xfId="0" applyNumberFormat="1" applyFont="1" applyFill="1" applyBorder="1" applyAlignment="1">
      <x:alignment vertical="center"/>
    </x:xf>
    <x:xf numFmtId="0" fontId="6" fillId="7" borderId="7" xfId="0" applyNumberFormat="1" applyFont="1" applyFill="1" applyBorder="1" applyAlignment="1">
      <x:alignment vertical="center"/>
    </x:xf>
    <x:xf numFmtId="0" fontId="6" fillId="7" borderId="9" xfId="0" applyNumberFormat="1" applyFont="1" applyFill="1" applyBorder="1" applyAlignment="1">
      <x:alignment vertical="center"/>
    </x:xf>
    <x:xf numFmtId="0" fontId="1" fillId="7" borderId="5" xfId="0" applyNumberFormat="1" applyFont="1" applyFill="1" applyBorder="1" applyAlignment="1">
      <x:alignment vertical="center" wrapText="1"/>
    </x:xf>
    <x:xf numFmtId="0" fontId="1" fillId="7" borderId="6"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1" fillId="7" borderId="8" xfId="0" applyNumberFormat="1" applyFont="1" applyFill="1" applyBorder="1" applyAlignment="1">
      <x:alignment vertical="center" wrapText="1"/>
    </x:xf>
    <x:xf numFmtId="0" fontId="1" fillId="7" borderId="10" xfId="0" applyNumberFormat="1" applyFont="1" applyFill="1" applyBorder="1" applyAlignment="1">
      <x:alignment vertical="center" wrapText="1"/>
    </x:xf>
    <x:xf numFmtId="0" fontId="1" fillId="7" borderId="11" xfId="0" applyNumberFormat="1" applyFont="1" applyFill="1" applyBorder="1" applyAlignment="1">
      <x:alignment vertical="center" wrapText="1"/>
    </x:xf>
    <x:xf numFmtId="0" fontId="1" fillId="6" borderId="4" xfId="0" applyNumberFormat="1" applyFont="1" applyFill="1" applyBorder="1" applyAlignment="1">
      <x:alignment vertical="center" wrapText="1"/>
    </x:xf>
    <x:xf numFmtId="0" fontId="1" fillId="6" borderId="7" xfId="0" applyNumberFormat="1" applyFont="1" applyFill="1" applyBorder="1" applyAlignment="1">
      <x:alignment vertical="center" wrapText="1"/>
    </x:xf>
    <x:xf numFmtId="0" fontId="1" fillId="6" borderId="9" xfId="0" applyNumberFormat="1" applyFont="1" applyFill="1" applyBorder="1" applyAlignment="1">
      <x:alignment vertical="center" wrapText="1"/>
    </x:xf>
    <x:xf numFmtId="0" fontId="1" fillId="8" borderId="0" xfId="0" applyNumberFormat="1" applyFont="1" applyFill="1" applyBorder="1" applyAlignment="1">
      <x:alignment vertical="center"/>
    </x:xf>
    <x:xf numFmtId="0" fontId="7" fillId="8" borderId="0" xfId="0" applyNumberFormat="1" applyFont="1" applyFill="1" applyBorder="1" applyAlignment="1">
      <x:alignment vertical="center"/>
    </x:xf>
    <x:xf numFmtId="0" fontId="7" fillId="8" borderId="12" xfId="0" applyNumberFormat="1" applyFont="1" applyFill="1" applyBorder="1" applyAlignment="1">
      <x:alignment vertical="center"/>
    </x:xf>
    <x:xf numFmtId="0" fontId="7" fillId="8" borderId="13" xfId="0" applyNumberFormat="1" applyFont="1" applyFill="1" applyBorder="1" applyAlignment="1">
      <x:alignment vertical="center"/>
    </x:xf>
    <x:xf numFmtId="0" fontId="7" fillId="8" borderId="14" xfId="0" applyNumberFormat="1" applyFont="1" applyFill="1" applyBorder="1" applyAlignment="1">
      <x:alignment vertical="center"/>
    </x:xf>
    <x:xf numFmtId="0" fontId="7" fillId="8" borderId="15" xfId="0" applyNumberFormat="1" applyFont="1" applyFill="1" applyBorder="1" applyAlignment="1">
      <x:alignment vertical="center"/>
    </x:xf>
    <x:xf numFmtId="0" fontId="7" fillId="8" borderId="16" xfId="0" applyNumberFormat="1" applyFont="1" applyFill="1" applyBorder="1" applyAlignment="1">
      <x:alignment vertical="center"/>
    </x:xf>
    <x:xf numFmtId="0" fontId="7" fillId="8" borderId="17" xfId="0" applyNumberFormat="1" applyFont="1" applyFill="1" applyBorder="1" applyAlignment="1">
      <x:alignment vertical="center"/>
    </x:xf>
    <x:xf numFmtId="0" fontId="7" fillId="8" borderId="12" xfId="0" applyNumberFormat="1" applyFont="1" applyFill="1" applyBorder="1" applyAlignment="1">
      <x:alignment vertical="center" wrapText="1"/>
    </x:xf>
    <x:xf numFmtId="0" fontId="7" fillId="8" borderId="13" xfId="0" applyNumberFormat="1" applyFont="1" applyFill="1" applyBorder="1" applyAlignment="1">
      <x:alignment vertical="center" wrapText="1"/>
    </x:xf>
    <x:xf numFmtId="0" fontId="7" fillId="8" borderId="14" xfId="0" applyNumberFormat="1" applyFont="1" applyFill="1" applyBorder="1" applyAlignment="1">
      <x:alignment vertical="center" wrapText="1"/>
    </x:xf>
    <x:xf numFmtId="0" fontId="7" fillId="8" borderId="15" xfId="0" applyNumberFormat="1" applyFont="1" applyFill="1" applyBorder="1" applyAlignment="1">
      <x:alignment vertical="center" wrapText="1"/>
    </x:xf>
    <x:xf numFmtId="0" fontId="7" fillId="8" borderId="16" xfId="0" applyNumberFormat="1" applyFont="1" applyFill="1" applyBorder="1" applyAlignment="1">
      <x:alignment vertical="center" wrapText="1"/>
    </x:xf>
    <x:xf numFmtId="0" fontId="7" fillId="8" borderId="17" xfId="0" applyNumberFormat="1" applyFont="1" applyFill="1" applyBorder="1" applyAlignment="1">
      <x:alignment vertical="center" wrapText="1"/>
    </x:xf>
    <x:xf numFmtId="202" fontId="1" fillId="4" borderId="5" xfId="0" applyNumberFormat="1" applyFont="1" applyFill="1" applyBorder="1" applyAlignment="1">
      <x:alignment vertical="center" wrapText="1"/>
    </x:xf>
    <x:xf numFmtId="202" fontId="1" fillId="4" borderId="0" xfId="0" applyNumberFormat="1" applyFont="1" applyFill="1" applyBorder="1" applyAlignment="1">
      <x:alignment vertical="center" wrapText="1"/>
    </x:xf>
    <x:xf numFmtId="202" fontId="1" fillId="4" borderId="10" xfId="0" applyNumberFormat="1" applyFont="1" applyFill="1" applyBorder="1" applyAlignment="1">
      <x:alignment vertical="center" wrapText="1"/>
    </x:xf>
    <x:xf numFmtId="202" fontId="1" fillId="9" borderId="5" xfId="0" applyNumberFormat="1" applyFont="1" applyFill="1" applyBorder="1" applyAlignment="1">
      <x:alignment vertical="center" wrapText="1"/>
    </x:xf>
    <x:xf numFmtId="202" fontId="1" fillId="9" borderId="0" xfId="0" applyNumberFormat="1" applyFont="1" applyFill="1" applyBorder="1" applyAlignment="1">
      <x:alignment vertical="center" wrapText="1"/>
    </x:xf>
    <x:xf numFmtId="202" fontId="1" fillId="9" borderId="10" xfId="0" applyNumberFormat="1" applyFont="1" applyFill="1" applyBorder="1" applyAlignment="1">
      <x:alignment vertical="center" wrapText="1"/>
    </x:xf>
    <x:xf numFmtId="202" fontId="1" fillId="8" borderId="5" xfId="0" applyNumberFormat="1" applyFont="1" applyFill="1" applyBorder="1" applyAlignment="1">
      <x:alignment vertical="center" wrapText="1"/>
    </x:xf>
    <x:xf numFmtId="202" fontId="1" fillId="8" borderId="0" xfId="0" applyNumberFormat="1" applyFont="1" applyFill="1" applyBorder="1" applyAlignment="1">
      <x:alignment vertical="center" wrapText="1"/>
    </x:xf>
    <x:xf numFmtId="202" fontId="1" fillId="8" borderId="10" xfId="0" applyNumberFormat="1" applyFont="1" applyFill="1" applyBorder="1" applyAlignment="1">
      <x:alignment vertical="center" wrapText="1"/>
    </x:xf>
    <x:xf numFmtId="0" fontId="8" fillId="2" borderId="0" xfId="0" applyNumberFormat="1" applyFont="1" applyFill="1" applyBorder="1" applyAlignment="1">
      <x:alignment vertical="center"/>
    </x:xf>
    <x:xf numFmtId="0" fontId="8" fillId="2" borderId="2" xfId="0" applyNumberFormat="1" applyFont="1" applyFill="1" applyBorder="1" applyAlignment="1">
      <x:alignment vertical="center"/>
    </x:xf>
    <x:xf numFmtId="202" fontId="8" fillId="2" borderId="2" xfId="0" applyNumberFormat="1" applyFont="1" applyFill="1" applyBorder="1" applyAlignment="1">
      <x:alignment vertical="center"/>
    </x:xf>
    <x:xf numFmtId="0" fontId="1" fillId="5" borderId="4" xfId="0" applyNumberFormat="1" applyFont="1" applyFill="1" applyBorder="1" applyAlignment="1">
      <x:alignment vertical="center"/>
    </x:xf>
    <x:xf numFmtId="0" fontId="1" fillId="5" borderId="5" xfId="0" applyNumberFormat="1" applyFont="1" applyFill="1" applyBorder="1" applyAlignment="1">
      <x:alignment vertical="center"/>
    </x:xf>
    <x:xf numFmtId="0" fontId="1" fillId="5" borderId="6" xfId="0" applyNumberFormat="1" applyFont="1" applyFill="1" applyBorder="1" applyAlignment="1">
      <x:alignment vertical="center"/>
    </x:xf>
    <x:xf numFmtId="0" fontId="8" fillId="5" borderId="4" xfId="0" applyNumberFormat="1" applyFont="1" applyFill="1" applyBorder="1" applyAlignment="1">
      <x:alignment vertical="center"/>
    </x:xf>
    <x:xf numFmtId="0" fontId="8" fillId="5" borderId="5" xfId="0" applyNumberFormat="1" applyFont="1" applyFill="1" applyBorder="1" applyAlignment="1">
      <x:alignment vertical="center"/>
    </x:xf>
    <x:xf numFmtId="0" fontId="8" fillId="5" borderId="6" xfId="0" applyNumberFormat="1" applyFont="1" applyFill="1" applyBorder="1" applyAlignment="1">
      <x:alignment vertical="center"/>
    </x:xf>
    <x:xf numFmtId="202" fontId="8" fillId="5" borderId="6" xfId="0" applyNumberFormat="1" applyFont="1" applyFill="1" applyBorder="1" applyAlignment="1">
      <x:alignment vertical="center"/>
    </x:xf>
    <x:xf numFmtId="202" fontId="1" fillId="6" borderId="8" xfId="0" applyNumberFormat="1" applyFont="1" applyFill="1" applyBorder="1" applyAlignment="1">
      <x:alignment vertical="center"/>
    </x:xf>
    <x:xf numFmtId="202" fontId="1" fillId="6" borderId="11" xfId="0" applyNumberFormat="1" applyFont="1" applyFill="1" applyBorder="1" applyAlignment="1">
      <x:alignment vertical="center"/>
    </x:xf>
    <x:xf numFmtId="0" fontId="1" fillId="9" borderId="9" xfId="0" applyNumberFormat="1" applyFont="1" applyFill="1" applyBorder="1" applyAlignment="1">
      <x:alignment vertical="center"/>
    </x:xf>
    <x:xf numFmtId="0" fontId="1" fillId="9" borderId="10" xfId="0" applyNumberFormat="1" applyFont="1" applyFill="1" applyBorder="1" applyAlignment="1">
      <x:alignment vertical="center"/>
    </x:xf>
    <x:xf numFmtId="202" fontId="1" fillId="9" borderId="11" xfId="0" applyNumberFormat="1" applyFont="1" applyFill="1" applyBorder="1" applyAlignment="1">
      <x:alignment vertical="center"/>
    </x:xf>
    <x:xf numFmtId="0" fontId="1" fillId="9" borderId="0" xfId="0" applyNumberFormat="1" applyFont="1" applyFill="1" applyBorder="1" applyAlignment="1">
      <x:alignment vertical="center"/>
    </x:xf>
    <x:xf numFmtId="0" fontId="9" fillId="9" borderId="0" xfId="0" applyNumberFormat="1" applyFont="1" applyFill="1" applyBorder="1" applyAlignment="1">
      <x:alignment vertical="center"/>
    </x:xf>
    <x:xf numFmtId="0" fontId="9" fillId="9" borderId="18" xfId="0" applyNumberFormat="1" applyFont="1" applyFill="1" applyBorder="1" applyAlignment="1">
      <x:alignment vertical="center"/>
    </x:xf>
    <x:xf numFmtId="0" fontId="9" fillId="9" borderId="19" xfId="0" applyNumberFormat="1" applyFont="1" applyFill="1" applyBorder="1" applyAlignment="1">
      <x:alignment vertical="center"/>
    </x:xf>
    <x:xf numFmtId="0" fontId="9" fillId="9" borderId="20" xfId="0" applyNumberFormat="1" applyFont="1" applyFill="1" applyBorder="1" applyAlignment="1">
      <x:alignment vertical="center"/>
    </x:xf>
    <x:xf numFmtId="0" fontId="9" fillId="9" borderId="21" xfId="0" applyNumberFormat="1" applyFont="1" applyFill="1" applyBorder="1" applyAlignment="1">
      <x:alignment vertical="center"/>
    </x:xf>
    <x:xf numFmtId="0" fontId="9" fillId="9" borderId="22" xfId="0" applyNumberFormat="1" applyFont="1" applyFill="1" applyBorder="1" applyAlignment="1">
      <x:alignment vertical="center"/>
    </x:xf>
    <x:xf numFmtId="0" fontId="9" fillId="9" borderId="23" xfId="0" applyNumberFormat="1" applyFont="1" applyFill="1" applyBorder="1" applyAlignment="1">
      <x:alignment vertical="center"/>
    </x:xf>
    <x:xf numFmtId="0" fontId="9" fillId="9" borderId="18" xfId="0" applyNumberFormat="1" applyFont="1" applyFill="1" applyBorder="1" applyAlignment="1">
      <x:alignment vertical="center" wrapText="1"/>
    </x:xf>
    <x:xf numFmtId="0" fontId="9" fillId="9" borderId="19" xfId="0" applyNumberFormat="1" applyFont="1" applyFill="1" applyBorder="1" applyAlignment="1">
      <x:alignment vertical="center" wrapText="1"/>
    </x:xf>
    <x:xf numFmtId="0" fontId="9" fillId="9" borderId="20" xfId="0" applyNumberFormat="1" applyFont="1" applyFill="1" applyBorder="1" applyAlignment="1">
      <x:alignment vertical="center" wrapText="1"/>
    </x:xf>
    <x:xf numFmtId="0" fontId="9" fillId="9" borderId="21" xfId="0" applyNumberFormat="1" applyFont="1" applyFill="1" applyBorder="1" applyAlignment="1">
      <x:alignment vertical="center" wrapText="1"/>
    </x:xf>
    <x:xf numFmtId="0" fontId="9" fillId="9" borderId="22" xfId="0" applyNumberFormat="1" applyFont="1" applyFill="1" applyBorder="1" applyAlignment="1">
      <x:alignment vertical="center" wrapText="1"/>
    </x:xf>
    <x:xf numFmtId="0" fontId="9" fillId="9" borderId="23" xfId="0" applyNumberFormat="1" applyFont="1" applyFill="1" applyBorder="1" applyAlignment="1">
      <x:alignment vertical="center" wrapText="1"/>
    </x:xf>
    <x:xf numFmtId="0" fontId="9" fillId="9" borderId="18" xfId="0" applyNumberFormat="1" applyFont="1" applyFill="1" applyBorder="1" applyAlignment="1">
      <x:alignment horizontal="center" vertical="center" wrapText="1"/>
    </x:xf>
    <x:xf numFmtId="0" fontId="9" fillId="9" borderId="19" xfId="0" applyNumberFormat="1" applyFont="1" applyFill="1" applyBorder="1" applyAlignment="1">
      <x:alignment horizontal="center" vertical="center" wrapText="1"/>
    </x:xf>
    <x:xf numFmtId="0" fontId="9" fillId="9" borderId="20" xfId="0" applyNumberFormat="1" applyFont="1" applyFill="1" applyBorder="1" applyAlignment="1">
      <x:alignment horizontal="center" vertical="center" wrapText="1"/>
    </x:xf>
    <x:xf numFmtId="0" fontId="9" fillId="9" borderId="21" xfId="0" applyNumberFormat="1" applyFont="1" applyFill="1" applyBorder="1" applyAlignment="1">
      <x:alignment horizontal="center" vertical="center" wrapText="1"/>
    </x:xf>
    <x:xf numFmtId="0" fontId="9" fillId="9" borderId="22" xfId="0" applyNumberFormat="1" applyFont="1" applyFill="1" applyBorder="1" applyAlignment="1">
      <x:alignment horizontal="center" vertical="center" wrapText="1"/>
    </x:xf>
    <x:xf numFmtId="0" fontId="9" fillId="9" borderId="23" xfId="0" applyNumberFormat="1" applyFont="1" applyFill="1" applyBorder="1" applyAlignment="1">
      <x:alignment horizontal="center" vertical="center" wrapText="1"/>
    </x:xf>
    <x:xf numFmtId="0" fontId="1" fillId="10" borderId="0" xfId="0" applyNumberFormat="1" applyFont="1" applyFill="1" applyBorder="1" applyAlignment="1">
      <x:alignment vertical="center"/>
    </x:xf>
    <x:xf numFmtId="0" fontId="10" fillId="10" borderId="0" xfId="0" applyNumberFormat="1" applyFont="1" applyFill="1" applyBorder="1" applyAlignment="1">
      <x:alignment vertical="center"/>
    </x:xf>
    <x:xf numFmtId="0" fontId="10" fillId="10" borderId="24" xfId="0" applyNumberFormat="1" applyFont="1" applyFill="1" applyBorder="1" applyAlignment="1">
      <x:alignment vertical="center"/>
    </x:xf>
    <x:xf numFmtId="0" fontId="10" fillId="10" borderId="25" xfId="0" applyNumberFormat="1" applyFont="1" applyFill="1" applyBorder="1" applyAlignment="1">
      <x:alignment vertical="center"/>
    </x:xf>
    <x:xf numFmtId="0" fontId="10" fillId="10" borderId="26" xfId="0" applyNumberFormat="1" applyFont="1" applyFill="1" applyBorder="1" applyAlignment="1">
      <x:alignment vertical="center"/>
    </x:xf>
    <x:xf numFmtId="0" fontId="10" fillId="10" borderId="27" xfId="0" applyNumberFormat="1" applyFont="1" applyFill="1" applyBorder="1" applyAlignment="1">
      <x:alignment vertical="center"/>
    </x:xf>
    <x:xf numFmtId="0" fontId="10" fillId="10" borderId="28" xfId="0" applyNumberFormat="1" applyFont="1" applyFill="1" applyBorder="1" applyAlignment="1">
      <x:alignment vertical="center"/>
    </x:xf>
    <x:xf numFmtId="0" fontId="10" fillId="10" borderId="29" xfId="0" applyNumberFormat="1" applyFont="1" applyFill="1" applyBorder="1" applyAlignment="1">
      <x:alignment vertical="center"/>
    </x:xf>
    <x:xf numFmtId="0" fontId="10" fillId="10" borderId="30" xfId="0" applyNumberFormat="1" applyFont="1" applyFill="1" applyBorder="1" applyAlignment="1">
      <x:alignment vertical="center"/>
    </x:xf>
    <x:xf numFmtId="0" fontId="10" fillId="10" borderId="31" xfId="0" applyNumberFormat="1" applyFont="1" applyFill="1" applyBorder="1" applyAlignment="1">
      <x:alignment vertical="center"/>
    </x:xf>
    <x:xf numFmtId="0" fontId="10" fillId="10" borderId="24" xfId="0" applyNumberFormat="1" applyFont="1" applyFill="1" applyBorder="1" applyAlignment="1">
      <x:alignment vertical="center" wrapText="1"/>
    </x:xf>
    <x:xf numFmtId="0" fontId="10" fillId="10" borderId="25" xfId="0" applyNumberFormat="1" applyFont="1" applyFill="1" applyBorder="1" applyAlignment="1">
      <x:alignment vertical="center" wrapText="1"/>
    </x:xf>
    <x:xf numFmtId="0" fontId="10" fillId="10" borderId="26" xfId="0" applyNumberFormat="1" applyFont="1" applyFill="1" applyBorder="1" applyAlignment="1">
      <x:alignment vertical="center" wrapText="1"/>
    </x:xf>
    <x:xf numFmtId="0" fontId="10" fillId="10" borderId="27" xfId="0" applyNumberFormat="1" applyFont="1" applyFill="1" applyBorder="1" applyAlignment="1">
      <x:alignment vertical="center" wrapText="1"/>
    </x:xf>
    <x:xf numFmtId="0" fontId="10" fillId="10" borderId="0" xfId="0" applyNumberFormat="1" applyFont="1" applyFill="1" applyBorder="1" applyAlignment="1">
      <x:alignment vertical="center" wrapText="1"/>
    </x:xf>
    <x:xf numFmtId="0" fontId="10" fillId="10" borderId="28" xfId="0" applyNumberFormat="1" applyFont="1" applyFill="1" applyBorder="1" applyAlignment="1">
      <x:alignment vertical="center" wrapText="1"/>
    </x:xf>
    <x:xf numFmtId="0" fontId="10" fillId="10" borderId="29" xfId="0" applyNumberFormat="1" applyFont="1" applyFill="1" applyBorder="1" applyAlignment="1">
      <x:alignment vertical="center" wrapText="1"/>
    </x:xf>
    <x:xf numFmtId="0" fontId="10" fillId="10" borderId="30" xfId="0" applyNumberFormat="1" applyFont="1" applyFill="1" applyBorder="1" applyAlignment="1">
      <x:alignment vertical="center" wrapText="1"/>
    </x:xf>
    <x:xf numFmtId="0" fontId="10" fillId="10" borderId="31" xfId="0" applyNumberFormat="1" applyFont="1" applyFill="1" applyBorder="1" applyAlignment="1">
      <x:alignment vertical="center"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10" fillId="10" borderId="27" xfId="0" applyNumberFormat="1" applyFont="1" applyFill="1" applyBorder="1" applyAlignment="1">
      <x:alignment horizontal="center" vertical="center" wrapText="1"/>
    </x:xf>
    <x:xf numFmtId="0" fontId="10" fillId="10" borderId="0" xfId="0" applyNumberFormat="1" applyFont="1" applyFill="1" applyBorder="1" applyAlignment="1">
      <x:alignment horizontal="center" vertical="center" wrapText="1"/>
    </x:xf>
    <x:xf numFmtId="0" fontId="10" fillId="10" borderId="28" xfId="0" applyNumberFormat="1" applyFont="1" applyFill="1" applyBorder="1" applyAlignment="1">
      <x:alignment horizontal="center" vertical="center" wrapText="1"/>
    </x:xf>
    <x:xf numFmtId="0" fontId="10" fillId="10" borderId="29" xfId="0" applyNumberFormat="1" applyFont="1" applyFill="1" applyBorder="1" applyAlignment="1">
      <x:alignment horizontal="center" vertical="center" wrapText="1"/>
    </x:xf>
    <x:xf numFmtId="0" fontId="10" fillId="10" borderId="30" xfId="0" applyNumberFormat="1" applyFont="1" applyFill="1" applyBorder="1" applyAlignment="1">
      <x:alignment horizontal="center" vertical="center" wrapText="1"/>
    </x:xf>
    <x:xf numFmtId="0" fontId="10" fillId="10" borderId="31" xfId="0" applyNumberFormat="1" applyFont="1" applyFill="1" applyBorder="1" applyAlignment="1">
      <x:alignment horizontal="center" vertical="center" wrapText="1"/>
    </x:xf>
    <x:xf numFmtId="0" fontId="7" fillId="8" borderId="32" xfId="0" applyNumberFormat="1" applyFont="1" applyFill="1" applyBorder="1" applyAlignment="1">
      <x:alignment vertical="center"/>
    </x:xf>
    <x:xf numFmtId="0" fontId="7" fillId="8" borderId="33" xfId="0" applyNumberFormat="1" applyFont="1" applyFill="1" applyBorder="1" applyAlignment="1">
      <x:alignment vertical="center"/>
    </x:xf>
    <x:xf numFmtId="0" fontId="7" fillId="8" borderId="32" xfId="0" applyNumberFormat="1" applyFont="1" applyFill="1" applyBorder="1" applyAlignment="1">
      <x:alignment vertical="center" wrapText="1"/>
    </x:xf>
    <x:xf numFmtId="0" fontId="7" fillId="8" borderId="0" xfId="0" applyNumberFormat="1" applyFont="1" applyFill="1" applyBorder="1" applyAlignment="1">
      <x:alignment vertical="center" wrapText="1"/>
    </x:xf>
    <x:xf numFmtId="0" fontId="7" fillId="8" borderId="33" xfId="0" applyNumberFormat="1" applyFont="1" applyFill="1" applyBorder="1" applyAlignment="1">
      <x:alignment vertical="center" wrapText="1"/>
    </x:xf>
    <x:xf numFmtId="0" fontId="6" fillId="4" borderId="0" xfId="0" applyNumberFormat="1" applyFont="1" applyFill="1" applyBorder="1" applyAlignment="1">
      <x:alignment vertical="center"/>
    </x:xf>
    <x:xf numFmtId="0" fontId="6" fillId="4" borderId="34" xfId="0" applyNumberFormat="1" applyFont="1" applyFill="1" applyBorder="1" applyAlignment="1">
      <x:alignment vertical="center"/>
    </x:xf>
    <x:xf numFmtId="0" fontId="6" fillId="4" borderId="35" xfId="0" applyNumberFormat="1" applyFont="1" applyFill="1" applyBorder="1" applyAlignment="1">
      <x:alignment vertical="center"/>
    </x:xf>
    <x:xf numFmtId="0" fontId="6" fillId="4" borderId="36" xfId="0" applyNumberFormat="1" applyFont="1" applyFill="1" applyBorder="1" applyAlignment="1">
      <x:alignment vertical="center"/>
    </x:xf>
    <x:xf numFmtId="0" fontId="6" fillId="4" borderId="37" xfId="0" applyNumberFormat="1" applyFont="1" applyFill="1" applyBorder="1" applyAlignment="1">
      <x:alignment vertical="center"/>
    </x:xf>
    <x:xf numFmtId="0" fontId="6" fillId="4" borderId="38" xfId="0" applyNumberFormat="1" applyFont="1" applyFill="1" applyBorder="1" applyAlignment="1">
      <x:alignment vertical="center"/>
    </x:xf>
    <x:xf numFmtId="0" fontId="6" fillId="4" borderId="39" xfId="0" applyNumberFormat="1" applyFont="1" applyFill="1" applyBorder="1" applyAlignment="1">
      <x:alignment vertical="center"/>
    </x:xf>
    <x:xf numFmtId="0" fontId="6" fillId="4" borderId="40" xfId="0" applyNumberFormat="1" applyFont="1" applyFill="1" applyBorder="1" applyAlignment="1">
      <x:alignment vertical="center"/>
    </x:xf>
    <x:xf numFmtId="0" fontId="6" fillId="4" borderId="41" xfId="0" applyNumberFormat="1" applyFont="1" applyFill="1" applyBorder="1" applyAlignment="1">
      <x:alignment vertical="center"/>
    </x:xf>
    <x:xf numFmtId="0" fontId="6" fillId="4" borderId="34" xfId="0" applyNumberFormat="1" applyFont="1" applyFill="1" applyBorder="1" applyAlignment="1">
      <x:alignment vertical="center" wrapText="1"/>
    </x:xf>
    <x:xf numFmtId="0" fontId="6" fillId="4" borderId="35" xfId="0" applyNumberFormat="1" applyFont="1" applyFill="1" applyBorder="1" applyAlignment="1">
      <x:alignment vertical="center" wrapText="1"/>
    </x:xf>
    <x:xf numFmtId="0" fontId="6" fillId="4" borderId="36" xfId="0" applyNumberFormat="1" applyFont="1" applyFill="1" applyBorder="1" applyAlignment="1">
      <x:alignment vertical="center" wrapText="1"/>
    </x:xf>
    <x:xf numFmtId="0" fontId="6" fillId="4" borderId="37" xfId="0" applyNumberFormat="1" applyFont="1" applyFill="1" applyBorder="1" applyAlignment="1">
      <x:alignment vertical="center" wrapText="1"/>
    </x:xf>
    <x:xf numFmtId="0" fontId="6" fillId="4" borderId="0" xfId="0" applyNumberFormat="1" applyFont="1" applyFill="1" applyBorder="1" applyAlignment="1">
      <x:alignment vertical="center" wrapText="1"/>
    </x:xf>
    <x:xf numFmtId="0" fontId="6" fillId="4" borderId="38" xfId="0" applyNumberFormat="1" applyFont="1" applyFill="1" applyBorder="1" applyAlignment="1">
      <x:alignment vertical="center" wrapText="1"/>
    </x:xf>
    <x:xf numFmtId="0" fontId="6" fillId="4" borderId="39" xfId="0" applyNumberFormat="1" applyFont="1" applyFill="1" applyBorder="1" applyAlignment="1">
      <x:alignment vertical="center" wrapText="1"/>
    </x:xf>
    <x:xf numFmtId="0" fontId="6" fillId="4" borderId="40" xfId="0" applyNumberFormat="1" applyFont="1" applyFill="1" applyBorder="1" applyAlignment="1">
      <x:alignment vertical="center" wrapText="1"/>
    </x:xf>
    <x:xf numFmtId="0" fontId="6" fillId="4" borderId="41" xfId="0" applyNumberFormat="1" applyFont="1" applyFill="1" applyBorder="1" applyAlignment="1">
      <x:alignment vertical="center" wrapText="1"/>
    </x:xf>
    <x:xf numFmtId="0" fontId="11" fillId="8" borderId="0" xfId="0" applyNumberFormat="1" applyFont="1" applyFill="1" applyBorder="1" applyAlignment="1">
      <x:alignment vertical="center"/>
    </x:xf>
    <x:xf numFmtId="0" fontId="11" fillId="8" borderId="12" xfId="0" applyNumberFormat="1" applyFont="1" applyFill="1" applyBorder="1" applyAlignment="1">
      <x:alignment vertical="center"/>
    </x:xf>
    <x:xf numFmtId="0" fontId="11" fillId="8" borderId="13" xfId="0" applyNumberFormat="1" applyFont="1" applyFill="1" applyBorder="1" applyAlignment="1">
      <x:alignment vertical="center"/>
    </x:xf>
    <x:xf numFmtId="0" fontId="11" fillId="8" borderId="14" xfId="0" applyNumberFormat="1" applyFont="1" applyFill="1" applyBorder="1" applyAlignment="1">
      <x:alignment vertical="center"/>
    </x:xf>
    <x:xf numFmtId="0" fontId="11" fillId="8" borderId="15" xfId="0" applyNumberFormat="1" applyFont="1" applyFill="1" applyBorder="1" applyAlignment="1">
      <x:alignment vertical="center"/>
    </x:xf>
    <x:xf numFmtId="0" fontId="11" fillId="8" borderId="16" xfId="0" applyNumberFormat="1" applyFont="1" applyFill="1" applyBorder="1" applyAlignment="1">
      <x:alignment vertical="center"/>
    </x:xf>
    <x:xf numFmtId="0" fontId="11" fillId="8" borderId="17" xfId="0" applyNumberFormat="1" applyFont="1" applyFill="1" applyBorder="1" applyAlignment="1">
      <x:alignment vertical="center"/>
    </x:xf>
    <x:xf numFmtId="0" fontId="11" fillId="8" borderId="12" xfId="0" applyNumberFormat="1" applyFont="1" applyFill="1" applyBorder="1" applyAlignment="1">
      <x:alignment vertical="center" wrapText="1"/>
    </x:xf>
    <x:xf numFmtId="0" fontId="11" fillId="8" borderId="13" xfId="0" applyNumberFormat="1" applyFont="1" applyFill="1" applyBorder="1" applyAlignment="1">
      <x:alignment vertical="center" wrapText="1"/>
    </x:xf>
    <x:xf numFmtId="0" fontId="11" fillId="8" borderId="14" xfId="0" applyNumberFormat="1" applyFont="1" applyFill="1" applyBorder="1" applyAlignment="1">
      <x:alignment vertical="center" wrapText="1"/>
    </x:xf>
    <x:xf numFmtId="0" fontId="11" fillId="8" borderId="15" xfId="0" applyNumberFormat="1" applyFont="1" applyFill="1" applyBorder="1" applyAlignment="1">
      <x:alignment vertical="center" wrapText="1"/>
    </x:xf>
    <x:xf numFmtId="0" fontId="11" fillId="8" borderId="16" xfId="0" applyNumberFormat="1" applyFont="1" applyFill="1" applyBorder="1" applyAlignment="1">
      <x:alignment vertical="center" wrapText="1"/>
    </x:xf>
    <x:xf numFmtId="0" fontId="11" fillId="8" borderId="17" xfId="0" applyNumberFormat="1" applyFont="1" applyFill="1" applyBorder="1" applyAlignment="1">
      <x:alignment vertical="center" wrapText="1"/>
    </x:xf>
    <x:xf numFmtId="201" fontId="1" fillId="6" borderId="10" xfId="0" applyNumberFormat="1" applyFont="1" applyFill="1" applyBorder="1" applyAlignment="1">
      <x:alignment vertical="center"/>
    </x:xf>
    <x:xf numFmtId="200" fontId="1" fillId="9" borderId="5" xfId="0" applyNumberFormat="1" applyFont="1" applyFill="1" applyBorder="1" applyAlignment="1">
      <x:alignment vertical="center"/>
    </x:xf>
    <x:xf numFmtId="200" fontId="1" fillId="9" borderId="0" xfId="0" applyNumberFormat="1" applyFont="1" applyFill="1" applyBorder="1" applyAlignment="1">
      <x:alignment vertical="center"/>
    </x:xf>
    <x:xf numFmtId="201" fontId="1" fillId="9" borderId="0" xfId="0" applyNumberFormat="1" applyFont="1" applyFill="1" applyBorder="1" applyAlignment="1">
      <x:alignment vertical="center"/>
    </x:xf>
    <x:xf numFmtId="201" fontId="1" fillId="9" borderId="10" xfId="0" applyNumberFormat="1" applyFont="1" applyFill="1" applyBorder="1" applyAlignment="1">
      <x:alignment vertical="center"/>
    </x:xf>
    <x:xf numFmtId="200" fontId="1" fillId="4" borderId="5" xfId="0" applyNumberFormat="1" applyFont="1" applyFill="1" applyBorder="1" applyAlignment="1">
      <x:alignment vertical="center"/>
    </x:xf>
    <x:xf numFmtId="200" fontId="1" fillId="4" borderId="0" xfId="0" applyNumberFormat="1" applyFont="1" applyFill="1" applyBorder="1" applyAlignment="1">
      <x:alignment vertical="center"/>
    </x:xf>
    <x:xf numFmtId="201" fontId="1" fillId="4" borderId="0" xfId="0" applyNumberFormat="1" applyFont="1" applyFill="1" applyBorder="1" applyAlignment="1">
      <x:alignment vertical="center"/>
    </x:xf>
    <x:xf numFmtId="201" fontId="1" fillId="4" borderId="10" xfId="0" applyNumberFormat="1" applyFont="1" applyFill="1" applyBorder="1" applyAlignment="1">
      <x:alignment vertical="center"/>
    </x:xf>
    <x:xf numFmtId="203" fontId="1" fillId="6" borderId="5" xfId="0" applyNumberFormat="1" applyFont="1" applyFill="1" applyBorder="1" applyAlignment="1">
      <x:alignment vertical="center"/>
    </x:xf>
    <x:xf numFmtId="203" fontId="1" fillId="6" borderId="6" xfId="0" applyNumberFormat="1" applyFont="1" applyFill="1" applyBorder="1" applyAlignment="1">
      <x:alignment vertical="center"/>
    </x:xf>
    <x:xf numFmtId="203" fontId="1" fillId="6" borderId="10" xfId="0" applyNumberFormat="1" applyFont="1" applyFill="1" applyBorder="1" applyAlignment="1">
      <x:alignment vertical="center"/>
    </x:xf>
    <x:xf numFmtId="203" fontId="1" fillId="6" borderId="11" xfId="0" applyNumberFormat="1" applyFont="1" applyFill="1" applyBorder="1" applyAlignment="1">
      <x:alignment vertical="center"/>
    </x:xf>
    <x:xf numFmtId="0" fontId="1" fillId="10" borderId="24" xfId="0" applyNumberFormat="1" applyFont="1" applyFill="1" applyBorder="1" applyAlignment="1">
      <x:alignment vertical="center"/>
    </x:xf>
    <x:xf numFmtId="0" fontId="1" fillId="10" borderId="25" xfId="0" applyNumberFormat="1" applyFont="1" applyFill="1" applyBorder="1" applyAlignment="1">
      <x:alignment vertical="center"/>
    </x:xf>
    <x:xf numFmtId="0" fontId="1" fillId="10" borderId="26" xfId="0" applyNumberFormat="1" applyFont="1" applyFill="1" applyBorder="1" applyAlignment="1">
      <x:alignment vertical="center"/>
    </x:xf>
    <x:xf numFmtId="0" fontId="1" fillId="10" borderId="27" xfId="0" applyNumberFormat="1" applyFont="1" applyFill="1" applyBorder="1" applyAlignment="1">
      <x:alignment vertical="center"/>
    </x:xf>
    <x:xf numFmtId="0" fontId="1" fillId="10" borderId="28" xfId="0" applyNumberFormat="1" applyFont="1" applyFill="1" applyBorder="1" applyAlignment="1">
      <x:alignment vertical="center"/>
    </x:xf>
    <x:xf numFmtId="0" fontId="1" fillId="10" borderId="29" xfId="0" applyNumberFormat="1" applyFont="1" applyFill="1" applyBorder="1" applyAlignment="1">
      <x:alignment vertical="center"/>
    </x:xf>
    <x:xf numFmtId="0" fontId="1" fillId="10" borderId="30" xfId="0" applyNumberFormat="1" applyFont="1" applyFill="1" applyBorder="1" applyAlignment="1">
      <x:alignment vertical="center"/>
    </x:xf>
    <x:xf numFmtId="0" fontId="1" fillId="10" borderId="31" xfId="0" applyNumberFormat="1" applyFont="1" applyFill="1" applyBorder="1" applyAlignment="1">
      <x:alignment vertical="center"/>
    </x:xf>
    <x:xf numFmtId="0" fontId="12" fillId="10" borderId="24" xfId="0" applyNumberFormat="1" applyFont="1" applyFill="1" applyBorder="1" applyAlignment="1">
      <x:alignment vertical="center"/>
    </x:xf>
    <x:xf numFmtId="0" fontId="12" fillId="10" borderId="24" xfId="0" applyNumberFormat="1" applyFont="1" applyFill="1" applyBorder="1" applyAlignment="1">
      <x:alignment horizontal="center" vertical="center"/>
    </x:xf>
    <x:xf numFmtId="0" fontId="13" fillId="10" borderId="27" xfId="0" applyNumberFormat="1" applyFont="1" applyFill="1" applyBorder="1" applyAlignment="1">
      <x:alignment vertical="center"/>
    </x:xf>
    <x:xf numFmtId="201" fontId="13" fillId="10" borderId="27" xfId="0" applyNumberFormat="1" applyFont="1" applyFill="1" applyBorder="1" applyAlignment="1">
      <x:alignment vertical="center"/>
    </x:xf>
    <x:xf numFmtId="201" fontId="13" fillId="10" borderId="27" xfId="0" applyNumberFormat="1" applyFont="1" applyFill="1" applyBorder="1" applyAlignment="1">
      <x:alignment horizontal="center" vertical="center"/>
    </x:xf>
    <x:xf numFmtId="0" fontId="1" fillId="8" borderId="12" xfId="0" applyNumberFormat="1" applyFont="1" applyFill="1" applyBorder="1" applyAlignment="1">
      <x:alignment vertical="center"/>
    </x:xf>
    <x:xf numFmtId="0" fontId="1" fillId="8" borderId="13" xfId="0" applyNumberFormat="1" applyFont="1" applyFill="1" applyBorder="1" applyAlignment="1">
      <x:alignment vertical="center"/>
    </x:xf>
    <x:xf numFmtId="0" fontId="1" fillId="8" borderId="14" xfId="0" applyNumberFormat="1" applyFont="1" applyFill="1" applyBorder="1" applyAlignment="1">
      <x:alignment vertical="center"/>
    </x:xf>
    <x:xf numFmtId="0" fontId="1" fillId="8" borderId="32" xfId="0" applyNumberFormat="1" applyFont="1" applyFill="1" applyBorder="1" applyAlignment="1">
      <x:alignment vertical="center"/>
    </x:xf>
    <x:xf numFmtId="0" fontId="1" fillId="8" borderId="33" xfId="0" applyNumberFormat="1" applyFont="1" applyFill="1" applyBorder="1" applyAlignment="1">
      <x:alignment vertical="center"/>
    </x:xf>
    <x:xf numFmtId="0" fontId="1" fillId="8" borderId="15" xfId="0" applyNumberFormat="1" applyFont="1" applyFill="1" applyBorder="1" applyAlignment="1">
      <x:alignment vertical="center"/>
    </x:xf>
    <x:xf numFmtId="0" fontId="1" fillId="8" borderId="16" xfId="0" applyNumberFormat="1" applyFont="1" applyFill="1" applyBorder="1" applyAlignment="1">
      <x:alignment vertical="center"/>
    </x:xf>
    <x:xf numFmtId="0" fontId="1" fillId="8" borderId="17" xfId="0" applyNumberFormat="1" applyFont="1" applyFill="1" applyBorder="1" applyAlignment="1">
      <x:alignment vertical="center"/>
    </x:xf>
    <x:xf numFmtId="0" fontId="12" fillId="8" borderId="12" xfId="0" applyNumberFormat="1" applyFont="1" applyFill="1" applyBorder="1" applyAlignment="1">
      <x:alignment vertical="center"/>
    </x:xf>
    <x:xf numFmtId="0" fontId="12" fillId="8" borderId="12" xfId="0" applyNumberFormat="1" applyFont="1" applyFill="1" applyBorder="1" applyAlignment="1">
      <x:alignment horizontal="center" vertical="center"/>
    </x:xf>
    <x:xf numFmtId="0" fontId="14" fillId="8" borderId="32" xfId="0" applyNumberFormat="1" applyFont="1" applyFill="1" applyBorder="1" applyAlignment="1">
      <x:alignment vertical="center"/>
    </x:xf>
    <x:xf numFmtId="204" fontId="14" fillId="8" borderId="32" xfId="0" applyNumberFormat="1" applyFont="1" applyFill="1" applyBorder="1" applyAlignment="1">
      <x:alignment vertical="center"/>
    </x:xf>
    <x:xf numFmtId="204" fontId="14" fillId="8" borderId="32" xfId="0" applyNumberFormat="1" applyFont="1" applyFill="1" applyBorder="1" applyAlignment="1">
      <x:alignment horizontal="center" vertical="center"/>
    </x:xf>
    <x:xf numFmtId="0" fontId="1" fillId="9" borderId="18" xfId="0" applyNumberFormat="1" applyFont="1" applyFill="1" applyBorder="1" applyAlignment="1">
      <x:alignment vertical="center"/>
    </x:xf>
    <x:xf numFmtId="0" fontId="1" fillId="9" borderId="19" xfId="0" applyNumberFormat="1" applyFont="1" applyFill="1" applyBorder="1" applyAlignment="1">
      <x:alignment vertical="center"/>
    </x:xf>
    <x:xf numFmtId="0" fontId="1" fillId="9" borderId="20" xfId="0" applyNumberFormat="1" applyFont="1" applyFill="1" applyBorder="1" applyAlignment="1">
      <x:alignment vertical="center"/>
    </x:xf>
    <x:xf numFmtId="0" fontId="1" fillId="9" borderId="42" xfId="0" applyNumberFormat="1" applyFont="1" applyFill="1" applyBorder="1" applyAlignment="1">
      <x:alignment vertical="center"/>
    </x:xf>
    <x:xf numFmtId="0" fontId="1" fillId="9" borderId="43" xfId="0" applyNumberFormat="1" applyFont="1" applyFill="1" applyBorder="1" applyAlignment="1">
      <x:alignment vertical="center"/>
    </x:xf>
    <x:xf numFmtId="0" fontId="1" fillId="9" borderId="21" xfId="0" applyNumberFormat="1" applyFont="1" applyFill="1" applyBorder="1" applyAlignment="1">
      <x:alignment vertical="center"/>
    </x:xf>
    <x:xf numFmtId="0" fontId="1" fillId="9" borderId="22" xfId="0" applyNumberFormat="1" applyFont="1" applyFill="1" applyBorder="1" applyAlignment="1">
      <x:alignment vertical="center"/>
    </x:xf>
    <x:xf numFmtId="0" fontId="1" fillId="9" borderId="23" xfId="0" applyNumberFormat="1" applyFont="1" applyFill="1" applyBorder="1" applyAlignment="1">
      <x:alignment vertical="center"/>
    </x:xf>
    <x:xf numFmtId="0" fontId="12" fillId="9" borderId="18" xfId="0" applyNumberFormat="1" applyFont="1" applyFill="1" applyBorder="1" applyAlignment="1">
      <x:alignment vertical="center"/>
    </x:xf>
    <x:xf numFmtId="0" fontId="12" fillId="9" borderId="18" xfId="0" applyNumberFormat="1" applyFont="1" applyFill="1" applyBorder="1" applyAlignment="1">
      <x:alignment horizontal="center" vertical="center"/>
    </x:xf>
    <x:xf numFmtId="0" fontId="15" fillId="9" borderId="42" xfId="0" applyNumberFormat="1" applyFont="1" applyFill="1" applyBorder="1" applyAlignment="1">
      <x:alignment vertical="center"/>
    </x:xf>
    <x:xf numFmtId="204" fontId="15" fillId="9" borderId="42" xfId="0" applyNumberFormat="1" applyFont="1" applyFill="1" applyBorder="1" applyAlignment="1">
      <x:alignment vertical="center"/>
    </x:xf>
    <x:xf numFmtId="204" fontId="15" fillId="9" borderId="42" xfId="0" applyNumberFormat="1" applyFont="1" applyFill="1" applyBorder="1" applyAlignment="1">
      <x:alignment horizontal="center" vertical="center"/>
    </x:xf>
    <x:xf numFmtId="0" fontId="1" fillId="4" borderId="34" xfId="0" applyNumberFormat="1" applyFont="1" applyFill="1" applyBorder="1" applyAlignment="1">
      <x:alignment vertical="center"/>
    </x:xf>
    <x:xf numFmtId="0" fontId="1" fillId="4" borderId="35" xfId="0" applyNumberFormat="1" applyFont="1" applyFill="1" applyBorder="1" applyAlignment="1">
      <x:alignment vertical="center"/>
    </x:xf>
    <x:xf numFmtId="0" fontId="1" fillId="4" borderId="36" xfId="0" applyNumberFormat="1" applyFont="1" applyFill="1" applyBorder="1" applyAlignment="1">
      <x:alignment vertical="center"/>
    </x:xf>
    <x:xf numFmtId="0" fontId="1" fillId="4" borderId="37" xfId="0" applyNumberFormat="1" applyFont="1" applyFill="1" applyBorder="1" applyAlignment="1">
      <x:alignment vertical="center"/>
    </x:xf>
    <x:xf numFmtId="0" fontId="1" fillId="4" borderId="38" xfId="0" applyNumberFormat="1" applyFont="1" applyFill="1" applyBorder="1" applyAlignment="1">
      <x:alignment vertical="center"/>
    </x:xf>
    <x:xf numFmtId="0" fontId="1" fillId="4" borderId="39" xfId="0" applyNumberFormat="1" applyFont="1" applyFill="1" applyBorder="1" applyAlignment="1">
      <x:alignment vertical="center"/>
    </x:xf>
    <x:xf numFmtId="0" fontId="1" fillId="4" borderId="40" xfId="0" applyNumberFormat="1" applyFont="1" applyFill="1" applyBorder="1" applyAlignment="1">
      <x:alignment vertical="center"/>
    </x:xf>
    <x:xf numFmtId="0" fontId="1" fillId="4" borderId="41" xfId="0" applyNumberFormat="1" applyFont="1" applyFill="1" applyBorder="1" applyAlignment="1">
      <x:alignment vertical="center"/>
    </x:xf>
    <x:xf numFmtId="0" fontId="12" fillId="4" borderId="34" xfId="0" applyNumberFormat="1" applyFont="1" applyFill="1" applyBorder="1" applyAlignment="1">
      <x:alignment vertical="center"/>
    </x:xf>
    <x:xf numFmtId="0" fontId="12" fillId="4" borderId="34" xfId="0" applyNumberFormat="1" applyFont="1" applyFill="1" applyBorder="1" applyAlignment="1">
      <x:alignment horizontal="center" vertical="center"/>
    </x:xf>
    <x:xf numFmtId="0" fontId="16" fillId="4" borderId="37" xfId="0" applyNumberFormat="1" applyFont="1" applyFill="1" applyBorder="1" applyAlignment="1">
      <x:alignment vertical="center"/>
    </x:xf>
    <x:xf numFmtId="205" fontId="16" fillId="4" borderId="37" xfId="0" applyNumberFormat="1" applyFont="1" applyFill="1" applyBorder="1" applyAlignment="1">
      <x:alignment vertical="center"/>
    </x:xf>
    <x:xf numFmtId="205" fontId="16" fillId="4" borderId="37" xfId="0" applyNumberFormat="1" applyFont="1" applyFill="1" applyBorder="1" applyAlignment="1">
      <x:alignment horizontal="center" vertical="center"/>
    </x:xf>
    <x:xf numFmtId="0" fontId="17" fillId="9" borderId="0" xfId="0" applyNumberFormat="1" applyFont="1" applyFill="1" applyBorder="1" applyAlignment="1">
      <x:alignment vertical="center"/>
    </x:xf>
    <x:xf numFmtId="0" fontId="17" fillId="9" borderId="18" xfId="0" applyNumberFormat="1" applyFont="1" applyFill="1" applyBorder="1" applyAlignment="1">
      <x:alignment vertical="center"/>
    </x:xf>
    <x:xf numFmtId="0" fontId="17" fillId="9" borderId="19" xfId="0" applyNumberFormat="1" applyFont="1" applyFill="1" applyBorder="1" applyAlignment="1">
      <x:alignment vertical="center"/>
    </x:xf>
    <x:xf numFmtId="0" fontId="17" fillId="9" borderId="20" xfId="0" applyNumberFormat="1" applyFont="1" applyFill="1" applyBorder="1" applyAlignment="1">
      <x:alignment vertical="center"/>
    </x:xf>
    <x:xf numFmtId="0" fontId="17" fillId="9" borderId="42" xfId="0" applyNumberFormat="1" applyFont="1" applyFill="1" applyBorder="1" applyAlignment="1">
      <x:alignment vertical="center"/>
    </x:xf>
    <x:xf numFmtId="0" fontId="17" fillId="9" borderId="43" xfId="0" applyNumberFormat="1" applyFont="1" applyFill="1" applyBorder="1" applyAlignment="1">
      <x:alignment vertical="center"/>
    </x:xf>
    <x:xf numFmtId="0" fontId="17" fillId="9" borderId="21" xfId="0" applyNumberFormat="1" applyFont="1" applyFill="1" applyBorder="1" applyAlignment="1">
      <x:alignment vertical="center"/>
    </x:xf>
    <x:xf numFmtId="0" fontId="17" fillId="9" borderId="22" xfId="0" applyNumberFormat="1" applyFont="1" applyFill="1" applyBorder="1" applyAlignment="1">
      <x:alignment vertical="center"/>
    </x:xf>
    <x:xf numFmtId="0" fontId="17" fillId="9" borderId="23" xfId="0" applyNumberFormat="1" applyFont="1" applyFill="1" applyBorder="1" applyAlignment="1">
      <x:alignment vertical="center"/>
    </x:xf>
    <x:xf numFmtId="0" fontId="17" fillId="9" borderId="18" xfId="0" applyNumberFormat="1" applyFont="1" applyFill="1" applyBorder="1" applyAlignment="1">
      <x:alignment vertical="center" wrapText="1"/>
    </x:xf>
    <x:xf numFmtId="0" fontId="17" fillId="9" borderId="19" xfId="0" applyNumberFormat="1" applyFont="1" applyFill="1" applyBorder="1" applyAlignment="1">
      <x:alignment vertical="center" wrapText="1"/>
    </x:xf>
    <x:xf numFmtId="0" fontId="17" fillId="9" borderId="20" xfId="0" applyNumberFormat="1" applyFont="1" applyFill="1" applyBorder="1" applyAlignment="1">
      <x:alignment vertical="center" wrapText="1"/>
    </x:xf>
    <x:xf numFmtId="0" fontId="17" fillId="9" borderId="42" xfId="0" applyNumberFormat="1" applyFont="1" applyFill="1" applyBorder="1" applyAlignment="1">
      <x:alignment vertical="center" wrapText="1"/>
    </x:xf>
    <x:xf numFmtId="0" fontId="17" fillId="9" borderId="0" xfId="0" applyNumberFormat="1" applyFont="1" applyFill="1" applyBorder="1" applyAlignment="1">
      <x:alignment vertical="center" wrapText="1"/>
    </x:xf>
    <x:xf numFmtId="0" fontId="17" fillId="9" borderId="43" xfId="0" applyNumberFormat="1" applyFont="1" applyFill="1" applyBorder="1" applyAlignment="1">
      <x:alignment vertical="center" wrapText="1"/>
    </x:xf>
    <x:xf numFmtId="0" fontId="17" fillId="9" borderId="21" xfId="0" applyNumberFormat="1" applyFont="1" applyFill="1" applyBorder="1" applyAlignment="1">
      <x:alignment vertical="center" wrapText="1"/>
    </x:xf>
    <x:xf numFmtId="0" fontId="17" fillId="9" borderId="22" xfId="0" applyNumberFormat="1" applyFont="1" applyFill="1" applyBorder="1" applyAlignment="1">
      <x:alignment vertical="center" wrapText="1"/>
    </x:xf>
    <x:xf numFmtId="0" fontId="17" fillId="9" borderId="23"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88691d6a554212" /><Relationship Type="http://schemas.openxmlformats.org/officeDocument/2006/relationships/theme" Target="/xl/theme/theme1.xml" Id="R445123f17ad24f55" /><Relationship Type="http://schemas.openxmlformats.org/officeDocument/2006/relationships/sharedStrings" Target="/xl/sharedStrings.xml" Id="Rb401b3f584544224" /><Relationship Type="http://schemas.openxmlformats.org/officeDocument/2006/relationships/worksheet" Target="/xl/worksheets/sheet1.xml" Id="Rab2f37180f844ca4" /><Relationship Type="http://schemas.openxmlformats.org/officeDocument/2006/relationships/worksheet" Target="/xl/worksheets/sheet2.xml" Id="Rc5989dcfed714541" /><Relationship Type="http://schemas.openxmlformats.org/officeDocument/2006/relationships/worksheet" Target="/xl/worksheets/sheet3.xml" Id="R341aa8c6edb14c92" /><Relationship Type="http://schemas.openxmlformats.org/officeDocument/2006/relationships/worksheet" Target="/xl/worksheets/sheet4.xml" Id="R2807fee45a14495e" /><Relationship Type="http://schemas.openxmlformats.org/officeDocument/2006/relationships/worksheet" Target="/xl/worksheets/sheet5.xml" Id="R99238b2612064829" /></Relationships>
</file>

<file path=xl/drawings/_rels/drawing1.xml.rels>&#65279;<?xml version="1.0" encoding="utf-8"?><Relationships xmlns="http://schemas.openxmlformats.org/package/2006/relationships"><Relationship Type="http://schemas.openxmlformats.org/officeDocument/2006/relationships/chart" Target="/xl/drawings/charts/chart1.xml" Id="R1ff3858bde9f4e5c" /><Relationship Type="http://schemas.openxmlformats.org/officeDocument/2006/relationships/chart" Target="/xl/drawings/charts/chart2.xml" Id="Rbc9df00535154a41" /></Relationships>
</file>

<file path=xl/drawings/_rels/drawing2.xml.rels>&#65279;<?xml version="1.0" encoding="utf-8"?><Relationships xmlns="http://schemas.openxmlformats.org/package/2006/relationships"><Relationship Type="http://schemas.openxmlformats.org/officeDocument/2006/relationships/chart" Target="/xl/drawings/charts/chart3.xml" Id="R1d01520a95c44108" /><Relationship Type="http://schemas.openxmlformats.org/officeDocument/2006/relationships/chart" Target="/xl/drawings/charts/chart4.xml" Id="R65cf5c24ad86479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Capacité : gain SMED et besoin client</a:t>
            </a:r>
          </a:p>
        </c:rich>
      </c:tx>
      <c:overlay val="0"/>
    </c:title>
    <c:plotArea>
      <c:barChart>
        <c:barDir val="col"/>
        <c:varyColors val="0"/>
        <c:ser>
          <c:idx val="0"/>
          <c:order val="0"/>
          <c:tx>
            <c:v>Capacité u/j</c:v>
          </c:tx>
          <c:cat>
            <c:strRef>
              <c:f>'Synthèse'!$A$29:$A$30</c:f>
              <c:strCache>
                <c:ptCount val="0"/>
              </c:strCache>
            </c:strRef>
          </c:cat>
          <c:val>
            <c:numRef>
              <c:f>'Synthèse'!$B$29:$B$30</c:f>
              <c:numCache>
                <c:formatCode>0.0</c:formatCode>
                <c:ptCount val="0"/>
              </c:numCache>
            </c:numRef>
          </c:val>
        </c:ser>
        <c:ser>
          <c:idx val="1"/>
          <c:order val="1"/>
          <c:tx>
            <c:v>Demande u/j</c:v>
          </c:tx>
          <c:cat>
            <c:strRef>
              <c:f>'Synthèse'!$A$29:$A$30</c:f>
              <c:strCache>
                <c:ptCount val="0"/>
              </c:strCache>
            </c:strRef>
          </c:cat>
          <c:val>
            <c:numRef>
              <c:f>'Synthèse'!$C$29:$C$30</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Changement de série : durée interne</a:t>
            </a:r>
          </a:p>
        </c:rich>
      </c:tx>
      <c:overlay val="0"/>
    </c:title>
    <c:plotArea>
      <c:barChart>
        <c:barDir val="col"/>
        <c:varyColors val="0"/>
        <c:ser>
          <c:idx val="0"/>
          <c:order val="0"/>
          <c:tx>
            <c:v>Durée min</c:v>
          </c:tx>
          <c:cat>
            <c:strRef>
              <c:f>'Synthèse'!$G$29:$G$30</c:f>
              <c:strCache>
                <c:ptCount val="0"/>
              </c:strCache>
            </c:strRef>
          </c:cat>
          <c:val>
            <c:numRef>
              <c:f>'Synthèse'!$H$29:$H$30</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Capacité ST50 : scénario vs demande</a:t>
            </a:r>
          </a:p>
        </c:rich>
      </c:tx>
      <c:overlay val="0"/>
    </c:title>
    <c:plotArea>
      <c:barChart>
        <c:barDir val="col"/>
        <c:varyColors val="0"/>
        <c:ser>
          <c:idx val="0"/>
          <c:order val="0"/>
          <c:tx>
            <c:v>Capacité u/j</c:v>
          </c:tx>
          <c:cat>
            <c:strRef>
              <c:f>'Impact'!$G$20:$G$21</c:f>
              <c:strCache>
                <c:ptCount val="0"/>
              </c:strCache>
            </c:strRef>
          </c:cat>
          <c:val>
            <c:numRef>
              <c:f>'Impact'!$H$20:$H$21</c:f>
              <c:numCache>
                <c:formatCode>0.0</c:formatCode>
                <c:ptCount val="0"/>
              </c:numCache>
            </c:numRef>
          </c:val>
        </c:ser>
        <c:ser>
          <c:idx val="1"/>
          <c:order val="1"/>
          <c:tx>
            <c:v>Demande u/j</c:v>
          </c:tx>
          <c:cat>
            <c:strRef>
              <c:f>'Impact'!$G$20:$G$21</c:f>
              <c:strCache>
                <c:ptCount val="0"/>
              </c:strCache>
            </c:strRef>
          </c:cat>
          <c:val>
            <c:numRef>
              <c:f>'Impact'!$I$20:$I$21</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Durée interne par changement</a:t>
            </a:r>
          </a:p>
        </c:rich>
      </c:tx>
      <c:overlay val="0"/>
    </c:title>
    <c:plotArea>
      <c:barChart>
        <c:barDir val="col"/>
        <c:varyColors val="0"/>
        <c:ser>
          <c:idx val="0"/>
          <c:order val="0"/>
          <c:tx>
            <c:v>Durée min</c:v>
          </c:tx>
          <c:cat>
            <c:strRef>
              <c:f>'Impact'!$A$22:$A$23</c:f>
              <c:strCache>
                <c:ptCount val="0"/>
              </c:strCache>
            </c:strRef>
          </c:cat>
          <c:val>
            <c:numRef>
              <c:f>'Impact'!$B$22:$B$23</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31</xdr:row>
      <xdr:rowOff>0</xdr:rowOff>
    </xdr:from>
    <xdr:to>
      <xdr:col>6</xdr:col>
      <xdr:colOff>0</xdr:colOff>
      <xdr:row>47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ff3858bde9f4e5c"/>
        </a:graphicData>
      </a:graphic>
    </xdr:graphicFrame>
    <xdr:clientData/>
  </xdr:twoCellAnchor>
  <xdr:twoCellAnchor>
    <xdr:from>
      <xdr:col>6</xdr:col>
      <xdr:colOff>0</xdr:colOff>
      <xdr:row>31</xdr:row>
      <xdr:rowOff>0</xdr:rowOff>
    </xdr:from>
    <xdr:to>
      <xdr:col>12</xdr:col>
      <xdr:colOff>0</xdr:colOff>
      <xdr:row>47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c9df00535154a41"/>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22</xdr:row>
      <xdr:rowOff>0</xdr:rowOff>
    </xdr:from>
    <xdr:to>
      <xdr:col>12</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d01520a95c44108"/>
        </a:graphicData>
      </a:graphic>
    </xdr:graphicFrame>
    <xdr:clientData/>
  </xdr:twoCellAnchor>
  <xdr:twoCellAnchor>
    <xdr:from>
      <xdr:col>0</xdr:col>
      <xdr:colOff>0</xdr:colOff>
      <xdr:row>24</xdr:row>
      <xdr:rowOff>0</xdr:rowOff>
    </xdr:from>
    <xdr:to>
      <xdr:col>6</xdr:col>
      <xdr:colOff>0</xdr:colOff>
      <xdr:row>38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cf5c24ad86479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0c2801d021d46ae" /></Relationships>
</file>

<file path=xl/worksheets/_rels/sheet4.xml.rels>&#65279;<?xml version="1.0" encoding="utf-8"?><Relationships xmlns="http://schemas.openxmlformats.org/package/2006/relationships"><Relationship Type="http://schemas.openxmlformats.org/officeDocument/2006/relationships/drawing" Target="/xl/drawings/drawing2.xml" Id="Rfa56f43832c84253"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8" hidden="0" customWidth="1"/>
    <x:col min="2" max="2" width="14" hidden="0" customWidth="1"/>
    <x:col min="3" max="3" width="15" hidden="0" customWidth="1"/>
    <x:col min="4" max="4" width="15" hidden="0" customWidth="1"/>
    <x:col min="5" max="5" width="15" hidden="0" customWidth="1"/>
    <x:col min="6" max="6" width="13" hidden="0" customWidth="1"/>
    <x:col min="7" max="7" width="18" hidden="0" customWidth="1"/>
    <x:col min="8" max="8" width="14" hidden="0" customWidth="1"/>
    <x:col min="9" max="9" width="15" hidden="0" customWidth="1"/>
    <x:col min="10" max="10" width="18" hidden="0" customWidth="1"/>
    <x:col min="11" max="11" width="14" hidden="0" customWidth="1"/>
    <x:col min="12" max="12" width="15" hidden="0" customWidth="1"/>
  </x:cols>
  <x:sheetData>
    <x:row r="1" ht="8" customHeight="1">
      <x:c r="A1" s="2"/>
      <x:c r="B1" s="2"/>
      <x:c r="C1" s="2"/>
      <x:c r="D1" s="2"/>
      <x:c r="E1" s="2"/>
      <x:c r="F1" s="2"/>
      <x:c r="G1" s="2"/>
      <x:c r="H1" s="2"/>
      <x:c r="I1" s="2"/>
      <x:c r="J1" s="2"/>
      <x:c r="K1" s="2"/>
      <x:c r="L1" s="2"/>
    </x:row>
    <x:row r="2" ht="32" customHeight="1">
      <x:c r="A2" s="4" t="str">
        <x:v>J14 — SMED : étude et standard proposé</x:v>
      </x:c>
      <x:c r="B2" s="2"/>
      <x:c r="C2" s="2"/>
      <x:c r="D2" s="2"/>
      <x:c r="E2" s="2"/>
      <x:c r="F2" s="2"/>
      <x:c r="G2" s="2"/>
      <x:c r="H2" s="2"/>
      <x:c r="I2" s="2"/>
      <x:c r="J2" s="2"/>
      <x:c r="K2" s="2"/>
      <x:c r="L2" s="2"/>
    </x:row>
    <x:row r="3" ht="5" customHeight="1">
      <x:c r="A3" s="5"/>
      <x:c r="B3" s="5"/>
      <x:c r="C3" s="5"/>
      <x:c r="D3" s="5"/>
      <x:c r="E3" s="5"/>
      <x:c r="F3" s="5"/>
      <x:c r="G3" s="5"/>
      <x:c r="H3" s="5"/>
      <x:c r="I3" s="5"/>
      <x:c r="J3" s="5"/>
      <x:c r="K3" s="5"/>
      <x:c r="L3" s="5"/>
    </x:row>
    <x:row r="4" ht="25" customHeight="1">
      <x:c r="A4" s="8" t="str">
        <x:v>ST50 • EMA-120 • décision basée sur les données observées et les actions retenues.</x:v>
      </x:c>
      <x:c r="B4" s="2"/>
      <x:c r="C4" s="2"/>
      <x:c r="D4" s="2"/>
      <x:c r="E4" s="2"/>
      <x:c r="F4" s="2"/>
      <x:c r="G4" s="2"/>
      <x:c r="H4" s="2"/>
      <x:c r="I4" s="2"/>
      <x:c r="J4" s="2"/>
      <x:c r="K4" s="2"/>
      <x:c r="L4" s="2"/>
    </x:row>
    <x:row r="5">
      <x:c r="A5" s="2"/>
      <x:c r="B5" s="2"/>
      <x:c r="C5" s="2"/>
      <x:c r="D5" s="2"/>
      <x:c r="E5" s="2"/>
      <x:c r="F5" s="2"/>
      <x:c r="G5" s="2"/>
      <x:c r="H5" s="2"/>
      <x:c r="I5" s="2"/>
      <x:c r="J5" s="2"/>
      <x:c r="K5" s="2"/>
      <x:c r="L5" s="2"/>
    </x:row>
    <x:row r="6">
      <x:c r="A6" s="212" t="str">
        <x:v>PART DES ARRÊTS ST50</x:v>
      </x:c>
      <x:c r="B6" s="204"/>
      <x:c r="C6" s="205"/>
      <x:c r="D6" s="225" t="str">
        <x:v>DURÉE ACTUELLE</x:v>
      </x:c>
      <x:c r="E6" s="217"/>
      <x:c r="F6" s="218"/>
      <x:c r="G6" s="238" t="str">
        <x:v>CIBLE PROPOSÉE</x:v>
      </x:c>
      <x:c r="H6" s="230"/>
      <x:c r="I6" s="231"/>
      <x:c r="J6" s="251" t="str">
        <x:v>TEMPS LIBÉRÉ / PÉRIODE</x:v>
      </x:c>
      <x:c r="K6" s="243"/>
      <x:c r="L6" s="244"/>
    </x:row>
    <x:row r="7">
      <x:c r="A7" s="206"/>
      <x:c r="B7" s="126"/>
      <x:c r="C7" s="207"/>
      <x:c r="D7" s="219"/>
      <x:c r="E7" s="68"/>
      <x:c r="F7" s="220"/>
      <x:c r="G7" s="232"/>
      <x:c r="H7" s="106"/>
      <x:c r="I7" s="233"/>
      <x:c r="J7" s="245"/>
      <x:c r="K7" s="6"/>
      <x:c r="L7" s="246"/>
    </x:row>
    <x:row r="8">
      <x:c r="A8" s="215" t="n">
        <x:f>Sources!B17</x:f>
        <x:v>0.7216549954562463</x:v>
      </x:c>
      <x:c r="B8" s="126"/>
      <x:c r="C8" s="207"/>
      <x:c r="D8" s="228" t="n">
        <x:f>Impact!B11</x:f>
        <x:v>25</x:v>
      </x:c>
      <x:c r="E8" s="68"/>
      <x:c r="F8" s="220"/>
      <x:c r="G8" s="241" t="n">
        <x:f>Impact!C11</x:f>
        <x:v>12.5</x:v>
      </x:c>
      <x:c r="H8" s="106"/>
      <x:c r="I8" s="233"/>
      <x:c r="J8" s="254" t="n">
        <x:f>Impact!H15</x:f>
        <x:v>9.375</x:v>
      </x:c>
      <x:c r="K8" s="6"/>
      <x:c r="L8" s="246"/>
    </x:row>
    <x:row r="9">
      <x:c r="A9" s="208"/>
      <x:c r="B9" s="209"/>
      <x:c r="C9" s="210"/>
      <x:c r="D9" s="221"/>
      <x:c r="E9" s="222"/>
      <x:c r="F9" s="223"/>
      <x:c r="G9" s="234"/>
      <x:c r="H9" s="235"/>
      <x:c r="I9" s="236"/>
      <x:c r="J9" s="247"/>
      <x:c r="K9" s="248"/>
      <x:c r="L9" s="249"/>
    </x:row>
    <x:row r="10">
      <x:c r="A10" s="2"/>
      <x:c r="B10" s="2"/>
      <x:c r="C10" s="2"/>
      <x:c r="D10" s="2"/>
      <x:c r="E10" s="2"/>
      <x:c r="F10" s="2"/>
      <x:c r="G10" s="2"/>
      <x:c r="H10" s="2"/>
      <x:c r="I10" s="2"/>
      <x:c r="J10" s="2"/>
      <x:c r="K10" s="2"/>
      <x:c r="L10" s="2"/>
    </x:row>
    <x:row r="11">
      <x:c r="A11" s="2"/>
      <x:c r="B11" s="2"/>
      <x:c r="C11" s="2"/>
      <x:c r="D11" s="2"/>
      <x:c r="E11" s="2"/>
      <x:c r="F11" s="2"/>
      <x:c r="G11" s="2"/>
      <x:c r="H11" s="2"/>
      <x:c r="I11" s="2"/>
      <x:c r="J11" s="2"/>
      <x:c r="K11" s="2"/>
      <x:c r="L11" s="2"/>
    </x:row>
    <x:row r="12" ht="24" customHeight="1">
      <x:c r="A12" s="9" t="str">
        <x:v>Décision SMED</x:v>
      </x:c>
      <x:c r="B12" s="9"/>
      <x:c r="C12" s="9"/>
      <x:c r="D12" s="9"/>
      <x:c r="E12" s="9"/>
      <x:c r="F12" s="9"/>
      <x:c r="G12" s="9" t="str">
        <x:v>Garde-fous</x:v>
      </x:c>
      <x:c r="H12" s="9"/>
      <x:c r="I12" s="9"/>
      <x:c r="J12" s="9"/>
      <x:c r="K12" s="9"/>
      <x:c r="L12" s="9"/>
    </x:row>
    <x:row r="13">
      <x:c r="A13" s="264" t="str">
        <x:v>OUI — impact significatif. Les changements de série représentent la cause dominante des arrêts ST50. La cible proposée de 12,5 min vient de la somme des tâches internes résiduelles après externalisation et simplification.</x:v>
      </x:c>
      <x:c r="B13" s="265"/>
      <x:c r="C13" s="265"/>
      <x:c r="D13" s="265"/>
      <x:c r="E13" s="265"/>
      <x:c r="F13" s="266"/>
      <x:c r="G13" s="76" t="str">
        <x:v>Le premier article doit rester conforme. Le standard est pilote et doit être validé par chronométrage sur au moins 10 changements par transition produit. Aucun gain ne doit dégrader la sécurité ni la qualité.</x:v>
      </x:c>
      <x:c r="H13" s="77"/>
      <x:c r="I13" s="77"/>
      <x:c r="J13" s="77"/>
      <x:c r="K13" s="77"/>
      <x:c r="L13" s="78"/>
    </x:row>
    <x:row r="14">
      <x:c r="A14" s="267"/>
      <x:c r="B14" s="268"/>
      <x:c r="C14" s="268"/>
      <x:c r="D14" s="268"/>
      <x:c r="E14" s="268"/>
      <x:c r="F14" s="269"/>
      <x:c r="G14" s="156"/>
      <x:c r="H14" s="157"/>
      <x:c r="I14" s="157"/>
      <x:c r="J14" s="157"/>
      <x:c r="K14" s="157"/>
      <x:c r="L14" s="158"/>
    </x:row>
    <x:row r="15">
      <x:c r="A15" s="267"/>
      <x:c r="B15" s="268"/>
      <x:c r="C15" s="268"/>
      <x:c r="D15" s="268"/>
      <x:c r="E15" s="268"/>
      <x:c r="F15" s="269"/>
      <x:c r="G15" s="156"/>
      <x:c r="H15" s="157"/>
      <x:c r="I15" s="157"/>
      <x:c r="J15" s="157"/>
      <x:c r="K15" s="157"/>
      <x:c r="L15" s="158"/>
    </x:row>
    <x:row r="16">
      <x:c r="A16" s="270"/>
      <x:c r="B16" s="271"/>
      <x:c r="C16" s="271"/>
      <x:c r="D16" s="271"/>
      <x:c r="E16" s="271"/>
      <x:c r="F16" s="272"/>
      <x:c r="G16" s="79"/>
      <x:c r="H16" s="80"/>
      <x:c r="I16" s="80"/>
      <x:c r="J16" s="80"/>
      <x:c r="K16" s="80"/>
      <x:c r="L16" s="81"/>
    </x:row>
    <x:row r="17">
      <x:c r="A17" s="2"/>
      <x:c r="B17" s="2"/>
      <x:c r="C17" s="2"/>
      <x:c r="D17" s="2"/>
      <x:c r="E17" s="2"/>
      <x:c r="F17" s="2"/>
      <x:c r="G17" s="2"/>
      <x:c r="H17" s="2"/>
      <x:c r="I17" s="2"/>
      <x:c r="J17" s="2"/>
      <x:c r="K17" s="2"/>
      <x:c r="L17" s="2"/>
    </x:row>
    <x:row r="18">
      <x:c r="A18" s="2"/>
      <x:c r="B18" s="2"/>
      <x:c r="C18" s="2"/>
      <x:c r="D18" s="2"/>
      <x:c r="E18" s="2"/>
      <x:c r="F18" s="2"/>
      <x:c r="G18" s="2"/>
      <x:c r="H18" s="2"/>
      <x:c r="I18" s="2"/>
      <x:c r="J18" s="2"/>
      <x:c r="K18" s="2"/>
      <x:c r="L18" s="2"/>
    </x:row>
    <x:row r="19" ht="24" customHeight="1">
      <x:c r="A19" s="9" t="str">
        <x:v>Comparaison actuelle / SMED proposé</x:v>
      </x:c>
      <x:c r="B19" s="9"/>
      <x:c r="C19" s="9"/>
      <x:c r="D19" s="9"/>
      <x:c r="E19" s="9"/>
      <x:c r="F19" s="9"/>
      <x:c r="G19" s="9" t="str">
        <x:v>Lecture managériale</x:v>
      </x:c>
      <x:c r="H19" s="9"/>
      <x:c r="I19" s="9"/>
      <x:c r="J19" s="9"/>
      <x:c r="K19" s="9"/>
      <x:c r="L19" s="9"/>
    </x:row>
    <x:row r="20">
      <x:c r="A20" s="18" t="str">
        <x:v>Indicateur</x:v>
      </x:c>
      <x:c r="B20" s="19"/>
      <x:c r="C20" s="19" t="str">
        <x:v>Actuel</x:v>
      </x:c>
      <x:c r="D20" s="19" t="str">
        <x:v>Proposé</x:v>
      </x:c>
      <x:c r="E20" s="19" t="str">
        <x:v>Écart</x:v>
      </x:c>
      <x:c r="F20" s="20" t="str">
        <x:v>Unité</x:v>
      </x:c>
      <x:c r="G20" s="172" t="str">
        <x:v>1. Externaliser 420 s • 2. Simplifier/éliminer 330 s • 3. Standard interne résiduel : 750 s.</x:v>
      </x:c>
      <x:c r="H20" s="172"/>
      <x:c r="I20" s="172"/>
      <x:c r="J20" s="172"/>
      <x:c r="K20" s="172"/>
      <x:c r="L20" s="172"/>
    </x:row>
    <x:row r="21">
      <x:c r="A21" s="22" t="str">
        <x:v>Durée interne (min)</x:v>
      </x:c>
      <x:c r="B21" s="23"/>
      <x:c r="C21" s="30" t="n">
        <x:f>Impact!B11</x:f>
        <x:v>25</x:v>
      </x:c>
      <x:c r="D21" s="191" t="n">
        <x:f>Impact!C11</x:f>
        <x:v>12.5</x:v>
      </x:c>
      <x:c r="E21" s="30" t="n">
        <x:f>Impact!D11</x:f>
        <x:v>-12.5</x:v>
      </x:c>
      <x:c r="F21" s="24" t="str">
        <x:v>min</x:v>
      </x:c>
      <x:c r="G21" s="172"/>
      <x:c r="H21" s="172"/>
      <x:c r="I21" s="172"/>
      <x:c r="J21" s="172"/>
      <x:c r="K21" s="172"/>
      <x:c r="L21" s="172"/>
    </x:row>
    <x:row r="22">
      <x:c r="A22" s="25" t="str">
        <x:v>Charge effective (s/u)</x:v>
      </x:c>
      <x:c r="B22" s="21"/>
      <x:c r="C22" s="31" t="n">
        <x:f>Impact!B14</x:f>
        <x:v>329.4122306717364</x:v>
      </x:c>
      <x:c r="D22" s="192" t="n">
        <x:f>Impact!C14</x:f>
        <x:v>318.7183143219265</x:v>
      </x:c>
      <x:c r="E22" s="31" t="n">
        <x:f>Impact!D14</x:f>
        <x:v>-10.693916349809854</x:v>
      </x:c>
      <x:c r="F22" s="26" t="str">
        <x:v>s/u</x:v>
      </x:c>
      <x:c r="G22" s="136" t="str">
        <x:v>Le SMED augmente la capacité de référence d’environ 5,38 u/j, mais laisse encore un écart d’environ 44,34 u/j par rapport à la demande. Il faut donc poursuivre avec l’équilibrage de ligne et les autres leviers du plan.</x:v>
      </x:c>
      <x:c r="H22" s="137"/>
      <x:c r="I22" s="137"/>
      <x:c r="J22" s="137"/>
      <x:c r="K22" s="137"/>
      <x:c r="L22" s="138"/>
    </x:row>
    <x:row r="23">
      <x:c r="A23" s="25" t="str">
        <x:v>Capacité de référence (u/j)</x:v>
      </x:c>
      <x:c r="B23" s="21"/>
      <x:c r="C23" s="31" t="n">
        <x:f>Impact!B15</x:f>
        <x:v>160.285487555609</x:v>
      </x:c>
      <x:c r="D23" s="192" t="n">
        <x:f>Impact!C15</x:f>
        <x:v>165.6635267801665</x:v>
      </x:c>
      <x:c r="E23" s="31" t="n">
        <x:f>Impact!D15</x:f>
        <x:v>5.3780392245575115</x:v>
      </x:c>
      <x:c r="F23" s="26" t="str">
        <x:v>u/j</x:v>
      </x:c>
      <x:c r="G23" s="139"/>
      <x:c r="H23" s="140"/>
      <x:c r="I23" s="140"/>
      <x:c r="J23" s="140"/>
      <x:c r="K23" s="140"/>
      <x:c r="L23" s="141"/>
    </x:row>
    <x:row r="24">
      <x:c r="A24" s="25" t="str">
        <x:v>Écart à la demande (u/j)</x:v>
      </x:c>
      <x:c r="B24" s="21"/>
      <x:c r="C24" s="31" t="n">
        <x:f>Impact!B16</x:f>
        <x:v>-49.714512444391005</x:v>
      </x:c>
      <x:c r="D24" s="192" t="n">
        <x:f>Impact!C16</x:f>
        <x:v>-44.33647321983349</x:v>
      </x:c>
      <x:c r="E24" s="31" t="n">
        <x:f>Impact!D16</x:f>
        <x:v>5.3780392245575115</x:v>
      </x:c>
      <x:c r="F24" s="26" t="str">
        <x:v>u/j</x:v>
      </x:c>
      <x:c r="G24" s="139"/>
      <x:c r="H24" s="140"/>
      <x:c r="I24" s="140"/>
      <x:c r="J24" s="140"/>
      <x:c r="K24" s="140"/>
      <x:c r="L24" s="141"/>
    </x:row>
    <x:row r="25">
      <x:c r="A25" s="27" t="str">
        <x:v>Disponibilité ST50</x:v>
      </x:c>
      <x:c r="B25" s="28"/>
      <x:c r="C25" s="190" t="n">
        <x:f>Impact!B18</x:f>
        <x:v>0.9114251893939394</x:v>
      </x:c>
      <x:c r="D25" s="194" t="n">
        <x:f>Impact!C18</x:f>
        <x:v>0.9433854166666666</x:v>
      </x:c>
      <x:c r="E25" s="190" t="n">
        <x:f>Impact!D18</x:f>
        <x:v>0.03196022727272729</x:v>
      </x:c>
      <x:c r="F25" s="29" t="str">
        <x:v>%</x:v>
      </x:c>
      <x:c r="G25" s="142"/>
      <x:c r="H25" s="143"/>
      <x:c r="I25" s="143"/>
      <x:c r="J25" s="143"/>
      <x:c r="K25" s="143"/>
      <x:c r="L25" s="144"/>
    </x:row>
    <x:row r="26">
      <x:c r="A26" s="2"/>
      <x:c r="B26" s="2"/>
      <x:c r="C26" s="2"/>
      <x:c r="D26" s="2"/>
      <x:c r="E26" s="2"/>
      <x:c r="F26" s="2"/>
      <x:c r="G26" s="2"/>
      <x:c r="H26" s="2"/>
      <x:c r="I26" s="2"/>
      <x:c r="J26" s="2"/>
      <x:c r="K26" s="2"/>
      <x:c r="L26" s="2"/>
    </x:row>
    <x:row r="27">
      <x:c r="A27" s="2"/>
      <x:c r="B27" s="2"/>
      <x:c r="C27" s="2"/>
      <x:c r="D27" s="2"/>
      <x:c r="E27" s="2"/>
      <x:c r="F27" s="2"/>
      <x:c r="G27" s="2"/>
      <x:c r="H27" s="2"/>
      <x:c r="I27" s="2"/>
      <x:c r="J27" s="2"/>
      <x:c r="K27" s="2"/>
      <x:c r="L27" s="2"/>
    </x:row>
    <x:row r="28">
      <x:c r="A28" s="18" t="str">
        <x:v>Scénario</x:v>
      </x:c>
      <x:c r="B28" s="19" t="str">
        <x:v>Capacité u/j</x:v>
      </x:c>
      <x:c r="C28" s="20" t="str">
        <x:v>Demande u/j</x:v>
      </x:c>
      <x:c r="D28" s="2"/>
      <x:c r="E28" s="2"/>
      <x:c r="F28" s="2"/>
      <x:c r="G28" s="18" t="str">
        <x:v>Scénario</x:v>
      </x:c>
      <x:c r="H28" s="20" t="str">
        <x:v>Durée min</x:v>
      </x:c>
      <x:c r="I28" s="2"/>
      <x:c r="J28" s="2"/>
      <x:c r="K28" s="2"/>
      <x:c r="L28" s="2"/>
    </x:row>
    <x:row r="29">
      <x:c r="A29" s="22" t="str">
        <x:v>Actuel</x:v>
      </x:c>
      <x:c r="B29" s="199" t="n">
        <x:f>Impact!B15</x:f>
        <x:v>160.285487555609</x:v>
      </x:c>
      <x:c r="C29" s="200" t="n">
        <x:f>Sources!G9</x:f>
        <x:v>210</x:v>
      </x:c>
      <x:c r="D29" s="2"/>
      <x:c r="E29" s="2"/>
      <x:c r="F29" s="2"/>
      <x:c r="G29" s="22" t="str">
        <x:v>Actuel</x:v>
      </x:c>
      <x:c r="H29" s="200" t="n">
        <x:f>Impact!B11</x:f>
        <x:v>25</x:v>
      </x:c>
      <x:c r="I29" s="2"/>
      <x:c r="J29" s="2"/>
      <x:c r="K29" s="2"/>
      <x:c r="L29" s="2"/>
    </x:row>
    <x:row r="30">
      <x:c r="A30" s="27" t="str">
        <x:v>SMED proposé</x:v>
      </x:c>
      <x:c r="B30" s="201" t="n">
        <x:f>Impact!C15</x:f>
        <x:v>165.6635267801665</x:v>
      </x:c>
      <x:c r="C30" s="202" t="n">
        <x:f>Sources!G9</x:f>
        <x:v>210</x:v>
      </x:c>
      <x:c r="D30" s="2"/>
      <x:c r="E30" s="2"/>
      <x:c r="F30" s="2"/>
      <x:c r="G30" s="27" t="str">
        <x:v>SMED proposé</x:v>
      </x:c>
      <x:c r="H30" s="202" t="n">
        <x:f>Impact!C11</x:f>
        <x:v>12.5</x:v>
      </x:c>
      <x:c r="I30" s="2"/>
      <x:c r="J30" s="2"/>
      <x:c r="K30" s="2"/>
      <x:c r="L30" s="2"/>
    </x:row>
    <x:row r="31">
      <x:c r="A31" s="2"/>
      <x:c r="B31" s="2"/>
      <x:c r="C31" s="2"/>
      <x:c r="D31" s="2"/>
      <x:c r="E31" s="2"/>
      <x:c r="F31" s="2"/>
      <x:c r="G31" s="2"/>
      <x:c r="H31" s="2"/>
      <x:c r="I31" s="2"/>
      <x:c r="J31" s="2"/>
      <x:c r="K31" s="2"/>
      <x:c r="L31" s="2"/>
    </x:row>
    <x:row r="32">
      <x:c r="A32" s="2"/>
      <x:c r="B32" s="2"/>
      <x:c r="C32" s="2"/>
      <x:c r="D32" s="2"/>
      <x:c r="E32" s="2"/>
      <x:c r="F32" s="2"/>
      <x:c r="G32" s="2"/>
      <x:c r="H32" s="2"/>
      <x:c r="I32" s="2"/>
      <x:c r="J32" s="2"/>
      <x:c r="K32" s="2"/>
      <x:c r="L32" s="2"/>
    </x:row>
    <x:row r="33">
      <x:c r="A33" s="2"/>
      <x:c r="B33" s="2"/>
      <x:c r="C33" s="2"/>
      <x:c r="D33" s="2"/>
      <x:c r="E33" s="2"/>
      <x:c r="F33" s="2"/>
      <x:c r="G33" s="2"/>
      <x:c r="H33" s="2"/>
      <x:c r="I33" s="2"/>
      <x:c r="J33" s="2"/>
      <x:c r="K33" s="2"/>
      <x:c r="L33" s="2"/>
    </x:row>
    <x:row r="34">
      <x:c r="A34" s="2"/>
      <x:c r="B34" s="2"/>
      <x:c r="C34" s="2"/>
      <x:c r="D34" s="2"/>
      <x:c r="E34" s="2"/>
      <x:c r="F34" s="2"/>
      <x:c r="G34" s="2"/>
      <x:c r="H34" s="2"/>
      <x:c r="I34" s="2"/>
      <x:c r="J34" s="2"/>
      <x:c r="K34" s="2"/>
      <x:c r="L34" s="2"/>
    </x:row>
    <x:row r="35">
      <x:c r="A35" s="2"/>
      <x:c r="B35" s="2"/>
      <x:c r="C35" s="2"/>
      <x:c r="D35" s="2"/>
      <x:c r="E35" s="2"/>
      <x:c r="F35" s="2"/>
      <x:c r="G35" s="2"/>
      <x:c r="H35" s="2"/>
      <x:c r="I35" s="2"/>
      <x:c r="J35" s="2"/>
      <x:c r="K35" s="2"/>
      <x:c r="L35" s="2"/>
    </x:row>
    <x:row r="36">
      <x:c r="A36" s="2"/>
      <x:c r="B36" s="2"/>
      <x:c r="C36" s="2"/>
      <x:c r="D36" s="2"/>
      <x:c r="E36" s="2"/>
      <x:c r="F36" s="2"/>
      <x:c r="G36" s="2"/>
      <x:c r="H36" s="2"/>
      <x:c r="I36" s="2"/>
      <x:c r="J36" s="2"/>
      <x:c r="K36" s="2"/>
      <x:c r="L36" s="2"/>
    </x:row>
    <x:row r="37">
      <x:c r="A37" s="2"/>
      <x:c r="B37" s="2"/>
      <x:c r="C37" s="2"/>
      <x:c r="D37" s="2"/>
      <x:c r="E37" s="2"/>
      <x:c r="F37" s="2"/>
      <x:c r="G37" s="2"/>
      <x:c r="H37" s="2"/>
      <x:c r="I37" s="2"/>
      <x:c r="J37" s="2"/>
      <x:c r="K37" s="2"/>
      <x:c r="L37" s="2"/>
    </x:row>
    <x:row r="38">
      <x:c r="A38" s="2"/>
      <x:c r="B38" s="2"/>
      <x:c r="C38" s="2"/>
      <x:c r="D38" s="2"/>
      <x:c r="E38" s="2"/>
      <x:c r="F38" s="2"/>
      <x:c r="G38" s="2"/>
      <x:c r="H38" s="2"/>
      <x:c r="I38" s="2"/>
      <x:c r="J38" s="2"/>
      <x:c r="K38" s="2"/>
      <x:c r="L38" s="2"/>
    </x:row>
    <x:row r="39">
      <x:c r="A39" s="2"/>
      <x:c r="B39" s="2"/>
      <x:c r="C39" s="2"/>
      <x:c r="D39" s="2"/>
      <x:c r="E39" s="2"/>
      <x:c r="F39" s="2"/>
      <x:c r="G39" s="2"/>
      <x:c r="H39" s="2"/>
      <x:c r="I39" s="2"/>
      <x:c r="J39" s="2"/>
      <x:c r="K39" s="2"/>
      <x:c r="L39" s="2"/>
    </x:row>
    <x:row r="40">
      <x:c r="A40" s="2"/>
      <x:c r="B40" s="2"/>
      <x:c r="C40" s="2"/>
      <x:c r="D40" s="2"/>
      <x:c r="E40" s="2"/>
      <x:c r="F40" s="2"/>
      <x:c r="G40" s="2"/>
      <x:c r="H40" s="2"/>
      <x:c r="I40" s="2"/>
      <x:c r="J40" s="2"/>
      <x:c r="K40" s="2"/>
      <x:c r="L40" s="2"/>
    </x:row>
    <x:row r="41">
      <x:c r="A41" s="2"/>
      <x:c r="B41" s="2"/>
      <x:c r="C41" s="2"/>
      <x:c r="D41" s="2"/>
      <x:c r="E41" s="2"/>
      <x:c r="F41" s="2"/>
      <x:c r="G41" s="2"/>
      <x:c r="H41" s="2"/>
      <x:c r="I41" s="2"/>
      <x:c r="J41" s="2"/>
      <x:c r="K41" s="2"/>
      <x:c r="L41" s="2"/>
    </x:row>
    <x:row r="42">
      <x:c r="A42" s="2"/>
      <x:c r="B42" s="2"/>
      <x:c r="C42" s="2"/>
      <x:c r="D42" s="2"/>
      <x:c r="E42" s="2"/>
      <x:c r="F42" s="2"/>
      <x:c r="G42" s="2"/>
      <x:c r="H42" s="2"/>
      <x:c r="I42" s="2"/>
      <x:c r="J42" s="2"/>
      <x:c r="K42" s="2"/>
      <x:c r="L42" s="2"/>
    </x:row>
    <x:row r="43">
      <x:c r="A43" s="2"/>
      <x:c r="B43" s="2"/>
      <x:c r="C43" s="2"/>
      <x:c r="D43" s="2"/>
      <x:c r="E43" s="2"/>
      <x:c r="F43" s="2"/>
      <x:c r="G43" s="2"/>
      <x:c r="H43" s="2"/>
      <x:c r="I43" s="2"/>
      <x:c r="J43" s="2"/>
      <x:c r="K43" s="2"/>
      <x:c r="L43" s="2"/>
    </x:row>
    <x:row r="44">
      <x:c r="A44" s="2"/>
      <x:c r="B44" s="2"/>
      <x:c r="C44" s="2"/>
      <x:c r="D44" s="2"/>
      <x:c r="E44" s="2"/>
      <x:c r="F44" s="2"/>
      <x:c r="G44" s="2"/>
      <x:c r="H44" s="2"/>
      <x:c r="I44" s="2"/>
      <x:c r="J44" s="2"/>
      <x:c r="K44" s="2"/>
      <x:c r="L44" s="2"/>
    </x:row>
    <x:row r="45">
      <x:c r="A45" s="2"/>
      <x:c r="B45" s="2"/>
      <x:c r="C45" s="2"/>
      <x:c r="D45" s="2"/>
      <x:c r="E45" s="2"/>
      <x:c r="F45" s="2"/>
      <x:c r="G45" s="2"/>
      <x:c r="H45" s="2"/>
      <x:c r="I45" s="2"/>
      <x:c r="J45" s="2"/>
      <x:c r="K45" s="2"/>
      <x:c r="L45" s="2"/>
    </x:row>
    <x:row r="46">
      <x:c r="A46" s="2"/>
      <x:c r="B46" s="2"/>
      <x:c r="C46" s="2"/>
      <x:c r="D46" s="2"/>
      <x:c r="E46" s="2"/>
      <x:c r="F46" s="2"/>
      <x:c r="G46" s="2"/>
      <x:c r="H46" s="2"/>
      <x:c r="I46" s="2"/>
      <x:c r="J46" s="2"/>
      <x:c r="K46" s="2"/>
      <x:c r="L46" s="2"/>
    </x:row>
    <x:row r="47">
      <x:c r="A47" s="2"/>
      <x:c r="B47" s="2"/>
      <x:c r="C47" s="2"/>
      <x:c r="D47" s="2"/>
      <x:c r="E47" s="2"/>
      <x:c r="F47" s="2"/>
      <x:c r="G47" s="2"/>
      <x:c r="H47" s="2"/>
      <x:c r="I47" s="2"/>
      <x:c r="J47" s="2"/>
      <x:c r="K47" s="2"/>
      <x:c r="L47" s="2"/>
    </x:row>
    <x:row r="48">
      <x:c r="A48" s="2"/>
      <x:c r="B48" s="2"/>
      <x:c r="C48" s="2"/>
      <x:c r="D48" s="2"/>
      <x:c r="E48" s="2"/>
      <x:c r="F48" s="2"/>
      <x:c r="G48" s="2"/>
      <x:c r="H48" s="2"/>
      <x:c r="I48" s="2"/>
      <x:c r="J48" s="2"/>
      <x:c r="K48" s="2"/>
      <x:c r="L48" s="2"/>
    </x:row>
    <x:row r="49">
      <x:c r="A49" s="2"/>
      <x:c r="B49" s="2"/>
      <x:c r="C49" s="2"/>
      <x:c r="D49" s="2"/>
      <x:c r="E49" s="2"/>
      <x:c r="F49" s="2"/>
      <x:c r="G49" s="2"/>
      <x:c r="H49" s="2"/>
      <x:c r="I49" s="2"/>
      <x:c r="J49" s="2"/>
      <x:c r="K49" s="2"/>
      <x:c r="L49" s="2"/>
    </x:row>
    <x:row r="50">
      <x:c r="A50" s="2"/>
      <x:c r="B50" s="2"/>
      <x:c r="C50" s="2"/>
      <x:c r="D50" s="2"/>
      <x:c r="E50" s="2"/>
      <x:c r="F50" s="2"/>
      <x:c r="G50" s="2"/>
      <x:c r="H50" s="2"/>
      <x:c r="I50" s="2"/>
      <x:c r="J50" s="2"/>
      <x:c r="K50" s="2"/>
      <x:c r="L50" s="2"/>
    </x:row>
    <x:row r="51">
      <x:c r="A51" s="2"/>
      <x:c r="B51" s="2"/>
      <x:c r="C51" s="2"/>
      <x:c r="D51" s="2"/>
      <x:c r="E51" s="2"/>
      <x:c r="F51" s="2"/>
      <x:c r="G51" s="2"/>
      <x:c r="H51" s="2"/>
      <x:c r="I51" s="2"/>
      <x:c r="J51" s="2"/>
      <x:c r="K51" s="2"/>
      <x:c r="L51" s="2"/>
    </x:row>
    <x:row r="52">
      <x:c r="A52" s="2"/>
      <x:c r="B52" s="2"/>
      <x:c r="C52" s="2"/>
      <x:c r="D52" s="2"/>
      <x:c r="E52" s="2"/>
      <x:c r="F52" s="2"/>
      <x:c r="G52" s="2"/>
      <x:c r="H52" s="2"/>
      <x:c r="I52" s="2"/>
      <x:c r="J52" s="2"/>
      <x:c r="K52" s="2"/>
      <x:c r="L52" s="2"/>
    </x:row>
    <x:row r="53">
      <x:c r="A53" s="2"/>
      <x:c r="B53" s="2"/>
      <x:c r="C53" s="2"/>
      <x:c r="D53" s="2"/>
      <x:c r="E53" s="2"/>
      <x:c r="F53" s="2"/>
      <x:c r="G53" s="2"/>
      <x:c r="H53" s="2"/>
      <x:c r="I53" s="2"/>
      <x:c r="J53" s="2"/>
      <x:c r="K53" s="2"/>
      <x:c r="L53" s="2"/>
    </x:row>
    <x:row r="54">
      <x:c r="A54" s="2"/>
      <x:c r="B54" s="2"/>
      <x:c r="C54" s="2"/>
      <x:c r="D54" s="2"/>
      <x:c r="E54" s="2"/>
      <x:c r="F54" s="2"/>
      <x:c r="G54" s="2"/>
      <x:c r="H54" s="2"/>
      <x:c r="I54" s="2"/>
      <x:c r="J54" s="2"/>
      <x:c r="K54" s="2"/>
      <x:c r="L54" s="2"/>
    </x:row>
    <x:row r="55">
      <x:c r="A55" s="2"/>
      <x:c r="B55" s="2"/>
      <x:c r="C55" s="2"/>
      <x:c r="D55" s="2"/>
      <x:c r="E55" s="2"/>
      <x:c r="F55" s="2"/>
      <x:c r="G55" s="2"/>
      <x:c r="H55" s="2"/>
      <x:c r="I55" s="2"/>
      <x:c r="J55" s="2"/>
      <x:c r="K55" s="2"/>
      <x:c r="L55" s="2"/>
    </x:row>
    <x:row r="56">
      <x:c r="A56" s="2"/>
      <x:c r="B56" s="2"/>
      <x:c r="C56" s="2"/>
      <x:c r="D56" s="2"/>
      <x:c r="E56" s="2"/>
      <x:c r="F56" s="2"/>
      <x:c r="G56" s="2"/>
      <x:c r="H56" s="2"/>
      <x:c r="I56" s="2"/>
      <x:c r="J56" s="2"/>
      <x:c r="K56" s="2"/>
      <x:c r="L56" s="2"/>
    </x:row>
    <x:row r="57">
      <x:c r="A57" s="2"/>
      <x:c r="B57" s="2"/>
      <x:c r="C57" s="2"/>
      <x:c r="D57" s="2"/>
      <x:c r="E57" s="2"/>
      <x:c r="F57" s="2"/>
      <x:c r="G57" s="2"/>
      <x:c r="H57" s="2"/>
      <x:c r="I57" s="2"/>
      <x:c r="J57" s="2"/>
      <x:c r="K57" s="2"/>
      <x:c r="L57" s="2"/>
    </x:row>
    <x:row r="58">
      <x:c r="A58" s="2"/>
      <x:c r="B58" s="2"/>
      <x:c r="C58" s="2"/>
      <x:c r="D58" s="2"/>
      <x:c r="E58" s="2"/>
      <x:c r="F58" s="2"/>
      <x:c r="G58" s="2"/>
      <x:c r="H58" s="2"/>
      <x:c r="I58" s="2"/>
      <x:c r="J58" s="2"/>
      <x:c r="K58" s="2"/>
      <x:c r="L58" s="2"/>
    </x:row>
    <x:row r="59">
      <x:c r="A59" s="2"/>
      <x:c r="B59" s="2"/>
      <x:c r="C59" s="2"/>
      <x:c r="D59" s="2"/>
      <x:c r="E59" s="2"/>
      <x:c r="F59" s="2"/>
      <x:c r="G59" s="2"/>
      <x:c r="H59" s="2"/>
      <x:c r="I59" s="2"/>
      <x:c r="J59" s="2"/>
      <x:c r="K59" s="2"/>
      <x:c r="L59" s="2"/>
    </x:row>
    <x:row r="60">
      <x:c r="A60" s="2"/>
      <x:c r="B60" s="2"/>
      <x:c r="C60" s="2"/>
      <x:c r="D60" s="2"/>
      <x:c r="E60" s="2"/>
      <x:c r="F60" s="2"/>
      <x:c r="G60" s="2"/>
      <x:c r="H60" s="2"/>
      <x:c r="I60" s="2"/>
      <x:c r="J60" s="2"/>
      <x:c r="K60" s="2"/>
      <x:c r="L60" s="2"/>
    </x:row>
    <x:row r="61">
      <x:c r="A61" s="2"/>
      <x:c r="B61" s="2"/>
      <x:c r="C61" s="2"/>
      <x:c r="D61" s="2"/>
      <x:c r="E61" s="2"/>
      <x:c r="F61" s="2"/>
      <x:c r="G61" s="2"/>
      <x:c r="H61" s="2"/>
      <x:c r="I61" s="2"/>
      <x:c r="J61" s="2"/>
      <x:c r="K61" s="2"/>
      <x:c r="L61" s="2"/>
    </x:row>
    <x:row r="62">
      <x:c r="A62" s="2"/>
      <x:c r="B62" s="2"/>
      <x:c r="C62" s="2"/>
      <x:c r="D62" s="2"/>
      <x:c r="E62" s="2"/>
      <x:c r="F62" s="2"/>
      <x:c r="G62" s="2"/>
      <x:c r="H62" s="2"/>
      <x:c r="I62" s="2"/>
      <x:c r="J62" s="2"/>
      <x:c r="K62" s="2"/>
      <x:c r="L62" s="2"/>
    </x:row>
    <x:row r="63">
      <x:c r="A63" s="2"/>
      <x:c r="B63" s="2"/>
      <x:c r="C63" s="2"/>
      <x:c r="D63" s="2"/>
      <x:c r="E63" s="2"/>
      <x:c r="F63" s="2"/>
      <x:c r="G63" s="2"/>
      <x:c r="H63" s="2"/>
      <x:c r="I63" s="2"/>
      <x:c r="J63" s="2"/>
      <x:c r="K63" s="2"/>
      <x:c r="L63" s="2"/>
    </x:row>
    <x:row r="64">
      <x:c r="A64" s="2"/>
      <x:c r="B64" s="2"/>
      <x:c r="C64" s="2"/>
      <x:c r="D64" s="2"/>
      <x:c r="E64" s="2"/>
      <x:c r="F64" s="2"/>
      <x:c r="G64" s="2"/>
      <x:c r="H64" s="2"/>
      <x:c r="I64" s="2"/>
      <x:c r="J64" s="2"/>
      <x:c r="K64" s="2"/>
      <x:c r="L64" s="2"/>
    </x:row>
    <x:row r="65">
      <x:c r="A65" s="2"/>
      <x:c r="B65" s="2"/>
      <x:c r="C65" s="2"/>
      <x:c r="D65" s="2"/>
      <x:c r="E65" s="2"/>
      <x:c r="F65" s="2"/>
      <x:c r="G65" s="2"/>
      <x:c r="H65" s="2"/>
      <x:c r="I65" s="2"/>
      <x:c r="J65" s="2"/>
      <x:c r="K65" s="2"/>
      <x:c r="L65" s="2"/>
    </x:row>
    <x:row r="66">
      <x:c r="A66" s="2"/>
      <x:c r="B66" s="2"/>
      <x:c r="C66" s="2"/>
      <x:c r="D66" s="2"/>
      <x:c r="E66" s="2"/>
      <x:c r="F66" s="2"/>
      <x:c r="G66" s="2"/>
      <x:c r="H66" s="2"/>
      <x:c r="I66" s="2"/>
      <x:c r="J66" s="2"/>
      <x:c r="K66" s="2"/>
      <x:c r="L66" s="2"/>
    </x:row>
    <x:row r="67">
      <x:c r="A67" s="2"/>
      <x:c r="B67" s="2"/>
      <x:c r="C67" s="2"/>
      <x:c r="D67" s="2"/>
      <x:c r="E67" s="2"/>
      <x:c r="F67" s="2"/>
      <x:c r="G67" s="2"/>
      <x:c r="H67" s="2"/>
      <x:c r="I67" s="2"/>
      <x:c r="J67" s="2"/>
      <x:c r="K67" s="2"/>
      <x:c r="L67" s="2"/>
    </x:row>
    <x:row r="68">
      <x:c r="A68" s="2"/>
      <x:c r="B68" s="2"/>
      <x:c r="C68" s="2"/>
      <x:c r="D68" s="2"/>
      <x:c r="E68" s="2"/>
      <x:c r="F68" s="2"/>
      <x:c r="G68" s="2"/>
      <x:c r="H68" s="2"/>
      <x:c r="I68" s="2"/>
      <x:c r="J68" s="2"/>
      <x:c r="K68" s="2"/>
      <x:c r="L68" s="2"/>
    </x:row>
    <x:row r="69">
      <x:c r="A69" s="2"/>
      <x:c r="B69" s="2"/>
      <x:c r="C69" s="2"/>
      <x:c r="D69" s="2"/>
      <x:c r="E69" s="2"/>
      <x:c r="F69" s="2"/>
      <x:c r="G69" s="2"/>
      <x:c r="H69" s="2"/>
      <x:c r="I69" s="2"/>
      <x:c r="J69" s="2"/>
      <x:c r="K69" s="2"/>
      <x:c r="L69" s="2"/>
    </x:row>
    <x:row r="70">
      <x:c r="A70" s="2"/>
      <x:c r="B70" s="2"/>
      <x:c r="C70" s="2"/>
      <x:c r="D70" s="2"/>
      <x:c r="E70" s="2"/>
      <x:c r="F70" s="2"/>
      <x:c r="G70" s="2"/>
      <x:c r="H70" s="2"/>
      <x:c r="I70" s="2"/>
      <x:c r="J70" s="2"/>
      <x:c r="K70" s="2"/>
      <x:c r="L70" s="2"/>
    </x:row>
    <x:row r="71">
      <x:c r="A71" s="2"/>
      <x:c r="B71" s="2"/>
      <x:c r="C71" s="2"/>
      <x:c r="D71" s="2"/>
      <x:c r="E71" s="2"/>
      <x:c r="F71" s="2"/>
      <x:c r="G71" s="2"/>
      <x:c r="H71" s="2"/>
      <x:c r="I71" s="2"/>
      <x:c r="J71" s="2"/>
      <x:c r="K71" s="2"/>
      <x:c r="L71" s="2"/>
    </x:row>
    <x:row r="72">
      <x:c r="A72" s="2"/>
      <x:c r="B72" s="2"/>
      <x:c r="C72" s="2"/>
      <x:c r="D72" s="2"/>
      <x:c r="E72" s="2"/>
      <x:c r="F72" s="2"/>
      <x:c r="G72" s="2"/>
      <x:c r="H72" s="2"/>
      <x:c r="I72" s="2"/>
      <x:c r="J72" s="2"/>
      <x:c r="K72" s="2"/>
      <x:c r="L72" s="2"/>
    </x:row>
    <x:row r="73">
      <x:c r="A73" s="2"/>
      <x:c r="B73" s="2"/>
      <x:c r="C73" s="2"/>
      <x:c r="D73" s="2"/>
      <x:c r="E73" s="2"/>
      <x:c r="F73" s="2"/>
      <x:c r="G73" s="2"/>
      <x:c r="H73" s="2"/>
      <x:c r="I73" s="2"/>
      <x:c r="J73" s="2"/>
      <x:c r="K73" s="2"/>
      <x:c r="L73" s="2"/>
    </x:row>
    <x:row r="74">
      <x:c r="A74" s="2"/>
      <x:c r="B74" s="2"/>
      <x:c r="C74" s="2"/>
      <x:c r="D74" s="2"/>
      <x:c r="E74" s="2"/>
      <x:c r="F74" s="2"/>
      <x:c r="G74" s="2"/>
      <x:c r="H74" s="2"/>
      <x:c r="I74" s="2"/>
      <x:c r="J74" s="2"/>
      <x:c r="K74" s="2"/>
      <x:c r="L74" s="2"/>
    </x:row>
    <x:row r="75">
      <x:c r="A75" s="2"/>
      <x:c r="B75" s="2"/>
      <x:c r="C75" s="2"/>
      <x:c r="D75" s="2"/>
      <x:c r="E75" s="2"/>
      <x:c r="F75" s="2"/>
      <x:c r="G75" s="2"/>
      <x:c r="H75" s="2"/>
      <x:c r="I75" s="2"/>
      <x:c r="J75" s="2"/>
      <x:c r="K75" s="2"/>
      <x:c r="L75" s="2"/>
    </x:row>
    <x:row r="76">
      <x:c r="A76" s="2"/>
      <x:c r="B76" s="2"/>
      <x:c r="C76" s="2"/>
      <x:c r="D76" s="2"/>
      <x:c r="E76" s="2"/>
      <x:c r="F76" s="2"/>
      <x:c r="G76" s="2"/>
      <x:c r="H76" s="2"/>
      <x:c r="I76" s="2"/>
      <x:c r="J76" s="2"/>
      <x:c r="K76" s="2"/>
      <x:c r="L76" s="2"/>
    </x:row>
    <x:row r="77">
      <x:c r="A77" s="2"/>
      <x:c r="B77" s="2"/>
      <x:c r="C77" s="2"/>
      <x:c r="D77" s="2"/>
      <x:c r="E77" s="2"/>
      <x:c r="F77" s="2"/>
      <x:c r="G77" s="2"/>
      <x:c r="H77" s="2"/>
      <x:c r="I77" s="2"/>
      <x:c r="J77" s="2"/>
      <x:c r="K77" s="2"/>
      <x:c r="L77" s="2"/>
    </x:row>
    <x:row r="78">
      <x:c r="A78" s="2"/>
      <x:c r="B78" s="2"/>
      <x:c r="C78" s="2"/>
      <x:c r="D78" s="2"/>
      <x:c r="E78" s="2"/>
      <x:c r="F78" s="2"/>
      <x:c r="G78" s="2"/>
      <x:c r="H78" s="2"/>
      <x:c r="I78" s="2"/>
      <x:c r="J78" s="2"/>
      <x:c r="K78" s="2"/>
      <x:c r="L78" s="2"/>
    </x:row>
    <x:row r="79">
      <x:c r="A79" s="2"/>
      <x:c r="B79" s="2"/>
      <x:c r="C79" s="2"/>
      <x:c r="D79" s="2"/>
      <x:c r="E79" s="2"/>
      <x:c r="F79" s="2"/>
      <x:c r="G79" s="2"/>
      <x:c r="H79" s="2"/>
      <x:c r="I79" s="2"/>
      <x:c r="J79" s="2"/>
      <x:c r="K79" s="2"/>
      <x:c r="L79" s="2"/>
    </x:row>
    <x:row r="80">
      <x:c r="A80" s="2"/>
      <x:c r="B80" s="2"/>
      <x:c r="C80" s="2"/>
      <x:c r="D80" s="2"/>
      <x:c r="E80" s="2"/>
      <x:c r="F80" s="2"/>
      <x:c r="G80" s="2"/>
      <x:c r="H80" s="2"/>
      <x:c r="I80" s="2"/>
      <x:c r="J80" s="2"/>
      <x:c r="K80" s="2"/>
      <x:c r="L80" s="2"/>
    </x:row>
  </x:sheetData>
  <x:mergeCells>
    <x:mergeCell ref="A2:L2"/>
    <x:mergeCell ref="A4:L4"/>
    <x:mergeCell ref="A6:C7"/>
    <x:mergeCell ref="A8:C9"/>
    <x:mergeCell ref="D6:F7"/>
    <x:mergeCell ref="D8:F9"/>
    <x:mergeCell ref="G6:I7"/>
    <x:mergeCell ref="G8:I9"/>
    <x:mergeCell ref="J6:L7"/>
    <x:mergeCell ref="J8:L9"/>
    <x:mergeCell ref="A12:F12"/>
    <x:mergeCell ref="A13:F16"/>
    <x:mergeCell ref="G12:L12"/>
    <x:mergeCell ref="G13:L16"/>
    <x:mergeCell ref="A19:F19"/>
    <x:mergeCell ref="A20:B20"/>
    <x:mergeCell ref="A21:B21"/>
    <x:mergeCell ref="A22:B22"/>
    <x:mergeCell ref="A23:B23"/>
    <x:mergeCell ref="A24:B24"/>
    <x:mergeCell ref="A25:B25"/>
    <x:mergeCell ref="G19:L19"/>
    <x:mergeCell ref="G20:L21"/>
    <x:mergeCell ref="G22:L25"/>
  </x:mergeCells>
  <x:pageMargins left="0.7" right="0.7" top="0.75" bottom="0.75" header="0.3" footer="0.3"/>
  <x:drawing xmlns:r="http://schemas.openxmlformats.org/officeDocument/2006/relationships" r:id="R10c2801d021d46ae"/>
</x:worksheet>
</file>

<file path=xl/worksheets/sheet2.xml><?xml version="1.0" encoding="utf-8"?>
<x:worksheet xmlns:x="http://schemas.openxmlformats.org/spreadsheetml/2006/main">
  <x:sheetViews>
    <x:sheetView workbookViewId="0">
      <x:pane ySplit="9" topLeftCell="A10" activePane="bottomLeft" state="frozen"/>
    </x:sheetView>
  </x:sheetViews>
  <x:sheetFormatPr defaultRowHeight="15"/>
  <x:cols>
    <x:col min="1" max="1" width="12" hidden="0" customWidth="1"/>
    <x:col min="2" max="2" width="32" hidden="0" customWidth="1"/>
    <x:col min="3" max="3" width="14" hidden="0" customWidth="1"/>
    <x:col min="4" max="4" width="14" hidden="0" customWidth="1"/>
    <x:col min="5" max="5" width="20" hidden="0" customWidth="1"/>
    <x:col min="6" max="6" width="14" hidden="0" customWidth="1"/>
    <x:col min="7" max="7" width="16" hidden="0" customWidth="1"/>
    <x:col min="8" max="8" width="14" hidden="0" customWidth="1"/>
    <x:col min="9" max="9" width="14" hidden="0" customWidth="1"/>
    <x:col min="10" max="10" width="14" hidden="0" customWidth="1"/>
    <x:col min="11" max="11" width="34" hidden="0" customWidth="1"/>
    <x:col min="12" max="12" width="17" hidden="0" customWidth="1"/>
    <x:col min="13" max="13" width="19" hidden="0" customWidth="1"/>
  </x:cols>
  <x:sheetData>
    <x:row r="1" ht="8" customHeight="1">
      <x:c r="A1" s="2"/>
      <x:c r="B1" s="2"/>
      <x:c r="C1" s="2"/>
      <x:c r="D1" s="2"/>
      <x:c r="E1" s="2"/>
      <x:c r="F1" s="2"/>
      <x:c r="G1" s="2"/>
      <x:c r="H1" s="2"/>
      <x:c r="I1" s="2"/>
      <x:c r="J1" s="2"/>
      <x:c r="K1" s="2"/>
      <x:c r="L1" s="2"/>
      <x:c r="M1" s="2"/>
    </x:row>
    <x:row r="2" ht="32" customHeight="1">
      <x:c r="A2" s="4" t="str">
        <x:v>J14 — Étude SMED du changement de série ST50</x:v>
      </x:c>
      <x:c r="B2" s="2"/>
      <x:c r="C2" s="2"/>
      <x:c r="D2" s="2"/>
      <x:c r="E2" s="2"/>
      <x:c r="F2" s="2"/>
      <x:c r="G2" s="2"/>
      <x:c r="H2" s="2"/>
      <x:c r="I2" s="2"/>
      <x:c r="J2" s="2"/>
      <x:c r="K2" s="2"/>
      <x:c r="L2" s="2"/>
      <x:c r="M2" s="2"/>
    </x:row>
    <x:row r="3" ht="5" customHeight="1">
      <x:c r="A3" s="5"/>
      <x:c r="B3" s="5"/>
      <x:c r="C3" s="5"/>
      <x:c r="D3" s="5"/>
      <x:c r="E3" s="5"/>
      <x:c r="F3" s="5"/>
      <x:c r="G3" s="5"/>
      <x:c r="H3" s="5"/>
      <x:c r="I3" s="5"/>
      <x:c r="J3" s="5"/>
      <x:c r="K3" s="5"/>
      <x:c r="L3" s="5"/>
      <x:c r="M3" s="5"/>
    </x:row>
    <x:row r="4" ht="25" customHeight="1">
      <x:c r="A4" s="8" t="str">
        <x:v>Observer → séparer interne/externe → convertir → simplifier → standardiser.</x:v>
      </x:c>
      <x:c r="B4" s="2"/>
      <x:c r="C4" s="2"/>
      <x:c r="D4" s="2"/>
      <x:c r="E4" s="2"/>
      <x:c r="F4" s="2"/>
      <x:c r="G4" s="2"/>
      <x:c r="H4" s="2"/>
      <x:c r="I4" s="2"/>
      <x:c r="J4" s="2"/>
      <x:c r="K4" s="2"/>
      <x:c r="L4" s="2"/>
      <x:c r="M4" s="2"/>
    </x:row>
    <x:row r="5">
      <x:c r="A5" s="2"/>
      <x:c r="B5" s="2"/>
      <x:c r="C5" s="2"/>
      <x:c r="D5" s="2"/>
      <x:c r="E5" s="2"/>
      <x:c r="F5" s="2"/>
      <x:c r="G5" s="2"/>
      <x:c r="H5" s="2"/>
      <x:c r="I5" s="2"/>
      <x:c r="J5" s="2"/>
      <x:c r="K5" s="2"/>
      <x:c r="L5" s="2"/>
      <x:c r="M5" s="2"/>
    </x:row>
    <x:row r="6">
      <x:c r="A6" s="76" t="str">
        <x:v>Point méthodologique : les 25 min sont observées. Le découpage par tâche est une reconstruction d’ingénierie calibrée sur ces 25 min et doit être confirmé par chronométrage terrain.</x:v>
      </x:c>
      <x:c r="B6" s="77"/>
      <x:c r="C6" s="77"/>
      <x:c r="D6" s="77"/>
      <x:c r="E6" s="77"/>
      <x:c r="F6" s="77"/>
      <x:c r="G6" s="77"/>
      <x:c r="H6" s="77"/>
      <x:c r="I6" s="77"/>
      <x:c r="J6" s="77"/>
      <x:c r="K6" s="77"/>
      <x:c r="L6" s="77"/>
      <x:c r="M6" s="78"/>
    </x:row>
    <x:row r="7">
      <x:c r="A7" s="79"/>
      <x:c r="B7" s="80"/>
      <x:c r="C7" s="80"/>
      <x:c r="D7" s="80"/>
      <x:c r="E7" s="80"/>
      <x:c r="F7" s="80"/>
      <x:c r="G7" s="80"/>
      <x:c r="H7" s="80"/>
      <x:c r="I7" s="80"/>
      <x:c r="J7" s="80"/>
      <x:c r="K7" s="80"/>
      <x:c r="L7" s="80"/>
      <x:c r="M7" s="81"/>
    </x:row>
    <x:row r="8">
      <x:c r="A8" s="2"/>
      <x:c r="B8" s="2"/>
      <x:c r="C8" s="2"/>
      <x:c r="D8" s="2"/>
      <x:c r="E8" s="2"/>
      <x:c r="F8" s="2"/>
      <x:c r="G8" s="2"/>
      <x:c r="H8" s="2"/>
      <x:c r="I8" s="2"/>
      <x:c r="J8" s="2"/>
      <x:c r="K8" s="2"/>
      <x:c r="L8" s="2"/>
      <x:c r="M8" s="2"/>
    </x:row>
    <x:row r="9">
      <x:c r="A9" s="18" t="str">
        <x:v>ID</x:v>
      </x:c>
      <x:c r="B9" s="19" t="str">
        <x:v>Activité</x:v>
      </x:c>
      <x:c r="C9" s="19" t="str">
        <x:v>Type actuel</x:v>
      </x:c>
      <x:c r="D9" s="19" t="str">
        <x:v>Durée actuelle (s)</x:v>
      </x:c>
      <x:c r="E9" s="19" t="str">
        <x:v>Action</x:v>
      </x:c>
      <x:c r="F9" s="19" t="str">
        <x:v>Externalisé (s)</x:v>
      </x:c>
      <x:c r="G9" s="19" t="str">
        <x:v>Supprimé / simplifié (s)</x:v>
      </x:c>
      <x:c r="H9" s="19" t="str">
        <x:v>Interne futur (s)</x:v>
      </x:c>
      <x:c r="I9" s="19" t="str">
        <x:v>Externe futur (s)</x:v>
      </x:c>
      <x:c r="J9" s="19" t="str">
        <x:v>Gain arrêt (s)</x:v>
      </x:c>
      <x:c r="K9" s="19" t="str">
        <x:v>Contremesure</x:v>
      </x:c>
      <x:c r="L9" s="19" t="str">
        <x:v>Responsable</x:v>
      </x:c>
      <x:c r="M9" s="20" t="str">
        <x:v>Statut preuve</x:v>
      </x:c>
    </x:row>
    <x:row r="10" ht="44" customHeight="1">
      <x:c r="A10" s="22" t="str">
        <x:f>Sources!A27</x:f>
        <x:v>SMED-01</x:v>
      </x:c>
      <x:c r="B10" s="35" t="str">
        <x:f>Sources!B27</x:f>
        <x:v>Confirmer la prochaine variante et préparer le dossier</x:v>
      </x:c>
      <x:c r="C10" s="23" t="str">
        <x:f>Sources!C27</x:f>
        <x:v>Interne reconstruit</x:v>
      </x:c>
      <x:c r="D10" s="41" t="n">
        <x:f>Sources!D27</x:f>
        <x:v>60</x:v>
      </x:c>
      <x:c r="E10" s="42" t="str">
        <x:f>Sources!E27</x:f>
        <x:v>Externaliser</x:v>
      </x:c>
      <x:c r="F10" s="82" t="n">
        <x:f>Sources!F27</x:f>
        <x:v>60</x:v>
      </x:c>
      <x:c r="G10" s="85" t="n">
        <x:f>Sources!G27</x:f>
        <x:v>0</x:v>
      </x:c>
      <x:c r="H10" s="88" t="n">
        <x:f>D10-F10-G10</x:f>
        <x:v>0</x:v>
      </x:c>
      <x:c r="I10" s="82" t="n">
        <x:f>F10</x:f>
        <x:v>60</x:v>
      </x:c>
      <x:c r="J10" s="42" t="n">
        <x:f>D10-H10</x:f>
        <x:v>60</x:v>
      </x:c>
      <x:c r="K10" s="35" t="str">
        <x:f>Sources!K27</x:f>
        <x:v>Dossier et ordre de fabrication disponibles avant l'arrêt</x:v>
      </x:c>
      <x:c r="L10" s="35" t="str">
        <x:f>Sources!L27</x:f>
        <x:v>Planification</x:v>
      </x:c>
      <x:c r="M10" s="38" t="str">
        <x:f>Sources!M27</x:f>
        <x:v>Reconstruction à valider</x:v>
      </x:c>
    </x:row>
    <x:row r="11" ht="44" customHeight="1">
      <x:c r="A11" s="25" t="str">
        <x:f>Sources!A28</x:f>
        <x:v>SMED-02</x:v>
      </x:c>
      <x:c r="B11" s="36" t="str">
        <x:f>Sources!B28</x:f>
        <x:v>Arrêter et sécuriser le banc</x:v>
      </x:c>
      <x:c r="C11" s="21" t="str">
        <x:f>Sources!C28</x:f>
        <x:v>Interne reconstruit</x:v>
      </x:c>
      <x:c r="D11" s="43" t="n">
        <x:f>Sources!D28</x:f>
        <x:v>90</x:v>
      </x:c>
      <x:c r="E11" s="44" t="str">
        <x:f>Sources!E28</x:f>
        <x:v>Simplifier</x:v>
      </x:c>
      <x:c r="F11" s="83" t="n">
        <x:f>Sources!F28</x:f>
        <x:v>0</x:v>
      </x:c>
      <x:c r="G11" s="86" t="n">
        <x:f>Sources!G28</x:f>
        <x:v>15</x:v>
      </x:c>
      <x:c r="H11" s="89" t="n">
        <x:f>D11-F11-G11</x:f>
        <x:v>75</x:v>
      </x:c>
      <x:c r="I11" s="83" t="n">
        <x:f>F11</x:f>
        <x:v>0</x:v>
      </x:c>
      <x:c r="J11" s="44" t="n">
        <x:f>D11-H11</x:f>
        <x:v>15</x:v>
      </x:c>
      <x:c r="K11" s="36" t="str">
        <x:f>Sources!K28</x:f>
        <x:v>Checklist d'arrêt unique et points de sécurité visuels</x:v>
      </x:c>
      <x:c r="L11" s="36" t="str">
        <x:f>Sources!L28</x:f>
        <x:v>Production</x:v>
      </x:c>
      <x:c r="M11" s="39" t="str">
        <x:f>Sources!M28</x:f>
        <x:v>Reconstruction à valider</x:v>
      </x:c>
    </x:row>
    <x:row r="12" ht="44" customHeight="1">
      <x:c r="A12" s="25" t="str">
        <x:f>Sources!A29</x:f>
        <x:v>SMED-03</x:v>
      </x:c>
      <x:c r="B12" s="36" t="str">
        <x:f>Sources!B29</x:f>
        <x:v>Chercher et transporter les outillages et adaptateurs</x:v>
      </x:c>
      <x:c r="C12" s="21" t="str">
        <x:f>Sources!C29</x:f>
        <x:v>Interne reconstruit</x:v>
      </x:c>
      <x:c r="D12" s="43" t="n">
        <x:f>Sources!D29</x:f>
        <x:v>180</x:v>
      </x:c>
      <x:c r="E12" s="44" t="str">
        <x:f>Sources!E29</x:f>
        <x:v>Externaliser</x:v>
      </x:c>
      <x:c r="F12" s="83" t="n">
        <x:f>Sources!F29</x:f>
        <x:v>180</x:v>
      </x:c>
      <x:c r="G12" s="86" t="n">
        <x:f>Sources!G29</x:f>
        <x:v>0</x:v>
      </x:c>
      <x:c r="H12" s="89" t="n">
        <x:f>D12-F12-G12</x:f>
        <x:v>0</x:v>
      </x:c>
      <x:c r="I12" s="83" t="n">
        <x:f>F12</x:f>
        <x:v>180</x:v>
      </x:c>
      <x:c r="J12" s="44" t="n">
        <x:f>D12-H12</x:f>
        <x:v>180</x:v>
      </x:c>
      <x:c r="K12" s="36" t="str">
        <x:f>Sources!K29</x:f>
        <x:v>Chariot SMED préparé au poste avant la dernière pièce</x:v>
      </x:c>
      <x:c r="L12" s="36" t="str">
        <x:f>Sources!L29</x:f>
        <x:v>Logistique</x:v>
      </x:c>
      <x:c r="M12" s="39" t="str">
        <x:f>Sources!M29</x:f>
        <x:v>Reconstruction à valider</x:v>
      </x:c>
    </x:row>
    <x:row r="13" ht="44" customHeight="1">
      <x:c r="A13" s="25" t="str">
        <x:f>Sources!A30</x:f>
        <x:v>SMED-04</x:v>
      </x:c>
      <x:c r="B13" s="36" t="str">
        <x:f>Sources!B30</x:f>
        <x:v>Déposer les fixations de la série précédente</x:v>
      </x:c>
      <x:c r="C13" s="21" t="str">
        <x:f>Sources!C30</x:f>
        <x:v>Interne reconstruit</x:v>
      </x:c>
      <x:c r="D13" s="43" t="n">
        <x:f>Sources!D30</x:f>
        <x:v>180</x:v>
      </x:c>
      <x:c r="E13" s="44" t="str">
        <x:f>Sources!E30</x:f>
        <x:v>Simplifier</x:v>
      </x:c>
      <x:c r="F13" s="83" t="n">
        <x:f>Sources!F30</x:f>
        <x:v>0</x:v>
      </x:c>
      <x:c r="G13" s="86" t="n">
        <x:f>Sources!G30</x:f>
        <x:v>30</x:v>
      </x:c>
      <x:c r="H13" s="89" t="n">
        <x:f>D13-F13-G13</x:f>
        <x:v>150</x:v>
      </x:c>
      <x:c r="I13" s="83" t="n">
        <x:f>F13</x:f>
        <x:v>0</x:v>
      </x:c>
      <x:c r="J13" s="44" t="n">
        <x:f>D13-H13</x:f>
        <x:v>30</x:v>
      </x:c>
      <x:c r="K13" s="36" t="str">
        <x:f>Sources!K30</x:f>
        <x:v>Repérage visuel, accès dégagé et ordre standard</x:v>
      </x:c>
      <x:c r="L13" s="36" t="str">
        <x:f>Sources!L30</x:f>
        <x:v>Méthodes</x:v>
      </x:c>
      <x:c r="M13" s="39" t="str">
        <x:f>Sources!M30</x:f>
        <x:v>Reconstruction à valider</x:v>
      </x:c>
    </x:row>
    <x:row r="14" ht="44" customHeight="1">
      <x:c r="A14" s="25" t="str">
        <x:f>Sources!A31</x:f>
        <x:v>SMED-05</x:v>
      </x:c>
      <x:c r="B14" s="36" t="str">
        <x:f>Sources!B31</x:f>
        <x:v>Nettoyer les surfaces et interfaces</x:v>
      </x:c>
      <x:c r="C14" s="21" t="str">
        <x:f>Sources!C31</x:f>
        <x:v>Interne reconstruit</x:v>
      </x:c>
      <x:c r="D14" s="43" t="n">
        <x:f>Sources!D31</x:f>
        <x:v>150</x:v>
      </x:c>
      <x:c r="E14" s="44" t="str">
        <x:f>Sources!E31</x:f>
        <x:v>Convertir + simplifier</x:v>
      </x:c>
      <x:c r="F14" s="83" t="n">
        <x:f>Sources!F31</x:f>
        <x:v>90</x:v>
      </x:c>
      <x:c r="G14" s="86" t="n">
        <x:f>Sources!G31</x:f>
        <x:v>15</x:v>
      </x:c>
      <x:c r="H14" s="89" t="n">
        <x:f>D14-F14-G14</x:f>
        <x:v>45</x:v>
      </x:c>
      <x:c r="I14" s="83" t="n">
        <x:f>F14</x:f>
        <x:v>90</x:v>
      </x:c>
      <x:c r="J14" s="44" t="n">
        <x:f>D14-H14</x:f>
        <x:v>105</x:v>
      </x:c>
      <x:c r="K14" s="36" t="str">
        <x:f>Sources!K31</x:f>
        <x:v>Pré-nettoyage externe; nettoyage final limité aux interfaces</x:v>
      </x:c>
      <x:c r="L14" s="36" t="str">
        <x:f>Sources!L31</x:f>
        <x:v>Production</x:v>
      </x:c>
      <x:c r="M14" s="39" t="str">
        <x:f>Sources!M31</x:f>
        <x:v>Reconstruction à valider</x:v>
      </x:c>
    </x:row>
    <x:row r="15" ht="44" customHeight="1">
      <x:c r="A15" s="25" t="str">
        <x:f>Sources!A32</x:f>
        <x:v>SMED-06</x:v>
      </x:c>
      <x:c r="B15" s="36" t="str">
        <x:f>Sources!B32</x:f>
        <x:v>Installer le nouvel outillage et les adaptateurs</x:v>
      </x:c>
      <x:c r="C15" s="21" t="str">
        <x:f>Sources!C32</x:f>
        <x:v>Interne reconstruit</x:v>
      </x:c>
      <x:c r="D15" s="43" t="n">
        <x:f>Sources!D32</x:f>
        <x:v>240</x:v>
      </x:c>
      <x:c r="E15" s="44" t="str">
        <x:f>Sources!E32</x:f>
        <x:v>Simplifier</x:v>
      </x:c>
      <x:c r="F15" s="83" t="n">
        <x:f>Sources!F32</x:f>
        <x:v>0</x:v>
      </x:c>
      <x:c r="G15" s="86" t="n">
        <x:f>Sources!G32</x:f>
        <x:v>60</x:v>
      </x:c>
      <x:c r="H15" s="89" t="n">
        <x:f>D15-F15-G15</x:f>
        <x:v>180</x:v>
      </x:c>
      <x:c r="I15" s="83" t="n">
        <x:f>F15</x:f>
        <x:v>0</x:v>
      </x:c>
      <x:c r="J15" s="44" t="n">
        <x:f>D15-H15</x:f>
        <x:v>60</x:v>
      </x:c>
      <x:c r="K15" s="36" t="str">
        <x:f>Sources!K32</x:f>
        <x:v>Bridages rapides, butées et détrompage</x:v>
      </x:c>
      <x:c r="L15" s="36" t="str">
        <x:f>Sources!L32</x:f>
        <x:v>Méthodes</x:v>
      </x:c>
      <x:c r="M15" s="39" t="str">
        <x:f>Sources!M32</x:f>
        <x:v>Reconstruction à valider</x:v>
      </x:c>
    </x:row>
    <x:row r="16" ht="44" customHeight="1">
      <x:c r="A16" s="25" t="str">
        <x:f>Sources!A33</x:f>
        <x:v>SMED-07</x:v>
      </x:c>
      <x:c r="B16" s="36" t="str">
        <x:f>Sources!B33</x:f>
        <x:v>Charger la recette et les paramètres de test</x:v>
      </x:c>
      <x:c r="C16" s="21" t="str">
        <x:f>Sources!C33</x:f>
        <x:v>Interne reconstruit</x:v>
      </x:c>
      <x:c r="D16" s="43" t="n">
        <x:f>Sources!D33</x:f>
        <x:v>120</x:v>
      </x:c>
      <x:c r="E16" s="44" t="str">
        <x:f>Sources!E33</x:f>
        <x:v>Convertir + simplifier</x:v>
      </x:c>
      <x:c r="F16" s="83" t="n">
        <x:f>Sources!F33</x:f>
        <x:v>90</x:v>
      </x:c>
      <x:c r="G16" s="86" t="n">
        <x:f>Sources!G33</x:f>
        <x:v>10</x:v>
      </x:c>
      <x:c r="H16" s="89" t="n">
        <x:f>D16-F16-G16</x:f>
        <x:v>20</x:v>
      </x:c>
      <x:c r="I16" s="83" t="n">
        <x:f>F16</x:f>
        <x:v>90</x:v>
      </x:c>
      <x:c r="J16" s="44" t="n">
        <x:f>D16-H16</x:f>
        <x:v>100</x:v>
      </x:c>
      <x:c r="K16" s="36" t="str">
        <x:f>Sources!K33</x:f>
        <x:v>Recette préchargée hors arrêt; validation finale au banc</x:v>
      </x:c>
      <x:c r="L16" s="36" t="str">
        <x:f>Sources!L33</x:f>
        <x:v>Industrialisation</x:v>
      </x:c>
      <x:c r="M16" s="39" t="str">
        <x:f>Sources!M33</x:f>
        <x:v>Reconstruction à valider</x:v>
      </x:c>
    </x:row>
    <x:row r="17" ht="44" customHeight="1">
      <x:c r="A17" s="25" t="str">
        <x:f>Sources!A34</x:f>
        <x:v>SMED-08</x:v>
      </x:c>
      <x:c r="B17" s="36" t="str">
        <x:f>Sources!B34</x:f>
        <x:v>Raccorder les capteurs et câbles de test</x:v>
      </x:c>
      <x:c r="C17" s="21" t="str">
        <x:f>Sources!C34</x:f>
        <x:v>Interne reconstruit</x:v>
      </x:c>
      <x:c r="D17" s="43" t="n">
        <x:f>Sources!D34</x:f>
        <x:v>180</x:v>
      </x:c>
      <x:c r="E17" s="44" t="str">
        <x:f>Sources!E34</x:f>
        <x:v>Simplifier</x:v>
      </x:c>
      <x:c r="F17" s="83" t="n">
        <x:f>Sources!F34</x:f>
        <x:v>0</x:v>
      </x:c>
      <x:c r="G17" s="86" t="n">
        <x:f>Sources!G34</x:f>
        <x:v>60</x:v>
      </x:c>
      <x:c r="H17" s="89" t="n">
        <x:f>D17-F17-G17</x:f>
        <x:v>120</x:v>
      </x:c>
      <x:c r="I17" s="83" t="n">
        <x:f>F17</x:f>
        <x:v>0</x:v>
      </x:c>
      <x:c r="J17" s="44" t="n">
        <x:f>D17-H17</x:f>
        <x:v>60</x:v>
      </x:c>
      <x:c r="K17" s="36" t="str">
        <x:f>Sources!K34</x:f>
        <x:v>Connecteurs repérés, codés et regroupés</x:v>
      </x:c>
      <x:c r="L17" s="36" t="str">
        <x:f>Sources!L34</x:f>
        <x:v>Maintenance</x:v>
      </x:c>
      <x:c r="M17" s="39" t="str">
        <x:f>Sources!M34</x:f>
        <x:v>Reconstruction à valider</x:v>
      </x:c>
    </x:row>
    <x:row r="18" ht="44" customHeight="1">
      <x:c r="A18" s="25" t="str">
        <x:f>Sources!A35</x:f>
        <x:v>SMED-09</x:v>
      </x:c>
      <x:c r="B18" s="36" t="str">
        <x:f>Sources!B35</x:f>
        <x:v>Vérifier les réglages et la conformité du montage</x:v>
      </x:c>
      <x:c r="C18" s="21" t="str">
        <x:f>Sources!C35</x:f>
        <x:v>Interne reconstruit</x:v>
      </x:c>
      <x:c r="D18" s="43" t="n">
        <x:f>Sources!D35</x:f>
        <x:v>180</x:v>
      </x:c>
      <x:c r="E18" s="44" t="str">
        <x:f>Sources!E35</x:f>
        <x:v>Simplifier</x:v>
      </x:c>
      <x:c r="F18" s="83" t="n">
        <x:f>Sources!F35</x:f>
        <x:v>0</x:v>
      </x:c>
      <x:c r="G18" s="86" t="n">
        <x:f>Sources!G35</x:f>
        <x:v>100</x:v>
      </x:c>
      <x:c r="H18" s="89" t="n">
        <x:f>D18-F18-G18</x:f>
        <x:v>80</x:v>
      </x:c>
      <x:c r="I18" s="83" t="n">
        <x:f>F18</x:f>
        <x:v>0</x:v>
      </x:c>
      <x:c r="J18" s="44" t="n">
        <x:f>D18-H18</x:f>
        <x:v>100</x:v>
      </x:c>
      <x:c r="K18" s="36" t="str">
        <x:f>Sources!K35</x:f>
        <x:v>Checklist courte avec valeurs nominales et contrôle visuel</x:v>
      </x:c>
      <x:c r="L18" s="36" t="str">
        <x:f>Sources!L35</x:f>
        <x:v>Qualité</x:v>
      </x:c>
      <x:c r="M18" s="39" t="str">
        <x:f>Sources!M35</x:f>
        <x:v>Reconstruction à valider</x:v>
      </x:c>
    </x:row>
    <x:row r="19" ht="44" customHeight="1">
      <x:c r="A19" s="27" t="str">
        <x:f>Sources!A36</x:f>
        <x:v>SMED-10</x:v>
      </x:c>
      <x:c r="B19" s="37" t="str">
        <x:f>Sources!B36</x:f>
        <x:v>Tester la première pièce et libérer la série</x:v>
      </x:c>
      <x:c r="C19" s="28" t="str">
        <x:f>Sources!C36</x:f>
        <x:v>Interne reconstruit</x:v>
      </x:c>
      <x:c r="D19" s="45" t="n">
        <x:f>Sources!D36</x:f>
        <x:v>120</x:v>
      </x:c>
      <x:c r="E19" s="46" t="str">
        <x:f>Sources!E36</x:f>
        <x:v>Standardiser</x:v>
      </x:c>
      <x:c r="F19" s="84" t="n">
        <x:f>Sources!F36</x:f>
        <x:v>0</x:v>
      </x:c>
      <x:c r="G19" s="87" t="n">
        <x:f>Sources!G36</x:f>
        <x:v>40</x:v>
      </x:c>
      <x:c r="H19" s="90" t="n">
        <x:f>D19-F19-G19</x:f>
        <x:v>80</x:v>
      </x:c>
      <x:c r="I19" s="84" t="n">
        <x:f>F19</x:f>
        <x:v>0</x:v>
      </x:c>
      <x:c r="J19" s="46" t="n">
        <x:f>D19-H19</x:f>
        <x:v>40</x:v>
      </x:c>
      <x:c r="K19" s="37" t="str">
        <x:f>Sources!K36</x:f>
        <x:v>Plan premier article standard et critères PASS explicites</x:v>
      </x:c>
      <x:c r="L19" s="37" t="str">
        <x:f>Sources!L36</x:f>
        <x:v>Qualité</x:v>
      </x:c>
      <x:c r="M19" s="40" t="str">
        <x:f>Sources!M36</x:f>
        <x:v>Reconstruction à valider</x:v>
      </x:c>
    </x:row>
    <x:row r="20">
      <x:c r="A20" s="92" t="str">
        <x:v>TOTAL</x:v>
      </x:c>
      <x:c r="B20" s="92"/>
      <x:c r="C20" s="92"/>
      <x:c r="D20" s="93" t="n">
        <x:f>SUM(D10:D19)</x:f>
        <x:v>1500</x:v>
      </x:c>
      <x:c r="E20" s="93"/>
      <x:c r="F20" s="93" t="n">
        <x:f>SUM(F10:F19)</x:f>
        <x:v>420</x:v>
      </x:c>
      <x:c r="G20" s="93" t="n">
        <x:f>SUM(G10:G19)</x:f>
        <x:v>330</x:v>
      </x:c>
      <x:c r="H20" s="93" t="n">
        <x:f>SUM(H10:H19)</x:f>
        <x:v>750</x:v>
      </x:c>
      <x:c r="I20" s="93" t="n">
        <x:f>SUM(I10:I19)</x:f>
        <x:v>420</x:v>
      </x:c>
      <x:c r="J20" s="93" t="n">
        <x:f>SUM(J10:J19)</x:f>
        <x:v>750</x:v>
      </x:c>
      <x:c r="K20" s="92"/>
      <x:c r="L20" s="92"/>
      <x:c r="M20" s="92"/>
    </x:row>
    <x:row r="21">
      <x:c r="A21" s="2"/>
      <x:c r="B21" s="2"/>
      <x:c r="C21" s="2"/>
      <x:c r="D21" s="2"/>
      <x:c r="E21" s="2"/>
      <x:c r="F21" s="2"/>
      <x:c r="G21" s="2"/>
      <x:c r="H21" s="2"/>
      <x:c r="I21" s="2"/>
      <x:c r="J21" s="2"/>
      <x:c r="K21" s="2"/>
      <x:c r="L21" s="2"/>
      <x:c r="M21" s="2"/>
    </x:row>
    <x:row r="22">
      <x:c r="A22" s="2"/>
      <x:c r="B22" s="2"/>
      <x:c r="C22" s="2"/>
      <x:c r="D22" s="2"/>
      <x:c r="E22" s="2"/>
      <x:c r="F22" s="2"/>
      <x:c r="G22" s="2"/>
      <x:c r="H22" s="2"/>
      <x:c r="I22" s="2"/>
      <x:c r="J22" s="2"/>
      <x:c r="K22" s="2"/>
      <x:c r="L22" s="2"/>
      <x:c r="M22" s="2"/>
    </x:row>
    <x:row r="23" ht="24" customHeight="1">
      <x:c r="A23" s="9" t="str">
        <x:v>Réconciliation du temps observé</x:v>
      </x:c>
      <x:c r="B23" s="9"/>
      <x:c r="C23" s="9"/>
      <x:c r="D23" s="9"/>
      <x:c r="E23" s="9"/>
      <x:c r="F23" s="9"/>
      <x:c r="G23" s="2"/>
      <x:c r="H23" s="9" t="str">
        <x:v>Cible dérivée — et non imposée</x:v>
      </x:c>
      <x:c r="I23" s="9"/>
      <x:c r="J23" s="9"/>
      <x:c r="K23" s="9"/>
      <x:c r="L23" s="9"/>
      <x:c r="M23" s="9"/>
    </x:row>
    <x:row r="24">
      <x:c r="A24" s="97" t="str">
        <x:v>Temps observé</x:v>
      </x:c>
      <x:c r="B24" s="98" t="str">
        <x:v>s</x:v>
      </x:c>
      <x:c r="C24" s="98" t="str">
        <x:v>Formule</x:v>
      </x:c>
      <x:c r="D24" s="100" t="n">
        <x:f>D20</x:f>
        <x:v>1500</x:v>
      </x:c>
      <x:c r="E24" s="2"/>
      <x:c r="F24" s="2"/>
      <x:c r="G24" s="2"/>
      <x:c r="H24" s="120" t="str">
        <x:f>"Cible interne proposée : "&amp;TEXT(H20/60,"0.0")&amp;" min ("&amp;TEXT(H20,"0")&amp;" s), soit la somme des tâches internes résiduelles."</x:f>
        <x:v>Cible interne proposée : 12.5 min (750 s), soit la somme des tâches internes résiduelles.</x:v>
      </x:c>
      <x:c r="I24" s="121"/>
      <x:c r="J24" s="121"/>
      <x:c r="K24" s="121"/>
      <x:c r="L24" s="121"/>
      <x:c r="M24" s="122"/>
    </x:row>
    <x:row r="25">
      <x:c r="A25" s="25" t="str">
        <x:v>Interne futur</x:v>
      </x:c>
      <x:c r="B25" s="21" t="str">
        <x:v>s</x:v>
      </x:c>
      <x:c r="C25" s="21" t="str">
        <x:v>Résiduel après actions</x:v>
      </x:c>
      <x:c r="D25" s="101" t="n">
        <x:f>H20</x:f>
        <x:v>750</x:v>
      </x:c>
      <x:c r="E25" s="2"/>
      <x:c r="F25" s="2"/>
      <x:c r="G25" s="2"/>
      <x:c r="H25" s="123"/>
      <x:c r="I25" s="124"/>
      <x:c r="J25" s="124"/>
      <x:c r="K25" s="124"/>
      <x:c r="L25" s="124"/>
      <x:c r="M25" s="125"/>
    </x:row>
    <x:row r="26">
      <x:c r="A26" s="25" t="str">
        <x:v>Externe futur</x:v>
      </x:c>
      <x:c r="B26" s="21" t="str">
        <x:v>s</x:v>
      </x:c>
      <x:c r="C26" s="21" t="str">
        <x:v>Déplacé hors arrêt</x:v>
      </x:c>
      <x:c r="D26" s="101" t="n">
        <x:f>I20</x:f>
        <x:v>420</x:v>
      </x:c>
      <x:c r="E26" s="2"/>
      <x:c r="F26" s="2"/>
      <x:c r="G26" s="2"/>
      <x:c r="H26" s="136" t="str">
        <x:v>À valider sur au moins 10 changements par transition produit avant de figer le standard. Le premier article conforme reste une condition de libération obligatoire.</x:v>
      </x:c>
      <x:c r="I26" s="137"/>
      <x:c r="J26" s="137"/>
      <x:c r="K26" s="137"/>
      <x:c r="L26" s="137"/>
      <x:c r="M26" s="138"/>
    </x:row>
    <x:row r="27">
      <x:c r="A27" s="25" t="str">
        <x:v>Supprimé / simplifié</x:v>
      </x:c>
      <x:c r="B27" s="21" t="str">
        <x:v>s</x:v>
      </x:c>
      <x:c r="C27" s="21" t="str">
        <x:v>Éliminé par conception / standard</x:v>
      </x:c>
      <x:c r="D27" s="101" t="n">
        <x:f>G20</x:f>
        <x:v>330</x:v>
      </x:c>
      <x:c r="E27" s="2"/>
      <x:c r="F27" s="2"/>
      <x:c r="G27" s="2"/>
      <x:c r="H27" s="139"/>
      <x:c r="I27" s="140"/>
      <x:c r="J27" s="140"/>
      <x:c r="K27" s="140"/>
      <x:c r="L27" s="140"/>
      <x:c r="M27" s="141"/>
    </x:row>
    <x:row r="28">
      <x:c r="A28" s="103" t="str">
        <x:v>Contrôle</x:v>
      </x:c>
      <x:c r="B28" s="104" t="str">
        <x:v>s</x:v>
      </x:c>
      <x:c r="C28" s="104" t="str">
        <x:v>Doit être égal à zéro</x:v>
      </x:c>
      <x:c r="D28" s="105" t="n">
        <x:f>D20-H20-I20-G20</x:f>
        <x:v>0</x:v>
      </x:c>
      <x:c r="E28" s="2"/>
      <x:c r="F28" s="2"/>
      <x:c r="G28" s="2"/>
      <x:c r="H28" s="142"/>
      <x:c r="I28" s="143"/>
      <x:c r="J28" s="143"/>
      <x:c r="K28" s="143"/>
      <x:c r="L28" s="143"/>
      <x:c r="M28" s="144"/>
    </x:row>
    <x:row r="29">
      <x:c r="A29" s="2"/>
      <x:c r="B29" s="2"/>
      <x:c r="C29" s="2"/>
      <x:c r="D29" s="2"/>
      <x:c r="E29" s="2"/>
      <x:c r="F29" s="2"/>
      <x:c r="G29" s="2"/>
      <x:c r="H29" s="2"/>
      <x:c r="I29" s="2"/>
      <x:c r="J29" s="2"/>
      <x:c r="K29" s="2"/>
      <x:c r="L29" s="2"/>
      <x:c r="M29" s="2"/>
    </x:row>
    <x:row r="30">
      <x:c r="A30" s="2"/>
      <x:c r="B30" s="2"/>
      <x:c r="C30" s="2"/>
      <x:c r="D30" s="2"/>
      <x:c r="E30" s="2"/>
      <x:c r="F30" s="2"/>
      <x:c r="G30" s="2"/>
      <x:c r="H30" s="2"/>
      <x:c r="I30" s="2"/>
      <x:c r="J30" s="2"/>
      <x:c r="K30" s="2"/>
      <x:c r="L30" s="2"/>
      <x:c r="M30" s="2"/>
    </x:row>
    <x:row r="31">
      <x:c r="A31" s="2"/>
      <x:c r="B31" s="2"/>
      <x:c r="C31" s="2"/>
      <x:c r="D31" s="2"/>
      <x:c r="E31" s="2"/>
      <x:c r="F31" s="2"/>
      <x:c r="G31" s="2"/>
      <x:c r="H31" s="2"/>
      <x:c r="I31" s="2"/>
      <x:c r="J31" s="2"/>
      <x:c r="K31" s="2"/>
      <x:c r="L31" s="2"/>
      <x:c r="M31" s="2"/>
    </x:row>
    <x:row r="32">
      <x:c r="A32" s="2"/>
      <x:c r="B32" s="2"/>
      <x:c r="C32" s="2"/>
      <x:c r="D32" s="2"/>
      <x:c r="E32" s="2"/>
      <x:c r="F32" s="2"/>
      <x:c r="G32" s="2"/>
      <x:c r="H32" s="2"/>
      <x:c r="I32" s="2"/>
      <x:c r="J32" s="2"/>
      <x:c r="K32" s="2"/>
      <x:c r="L32" s="2"/>
      <x:c r="M32" s="2"/>
    </x:row>
    <x:row r="33">
      <x:c r="A33" s="2"/>
      <x:c r="B33" s="2"/>
      <x:c r="C33" s="2"/>
      <x:c r="D33" s="2"/>
      <x:c r="E33" s="2"/>
      <x:c r="F33" s="2"/>
      <x:c r="G33" s="2"/>
      <x:c r="H33" s="2"/>
      <x:c r="I33" s="2"/>
      <x:c r="J33" s="2"/>
      <x:c r="K33" s="2"/>
      <x:c r="L33" s="2"/>
      <x:c r="M33" s="2"/>
    </x:row>
    <x:row r="34">
      <x:c r="A34" s="2"/>
      <x:c r="B34" s="2"/>
      <x:c r="C34" s="2"/>
      <x:c r="D34" s="2"/>
      <x:c r="E34" s="2"/>
      <x:c r="F34" s="2"/>
      <x:c r="G34" s="2"/>
      <x:c r="H34" s="2"/>
      <x:c r="I34" s="2"/>
      <x:c r="J34" s="2"/>
      <x:c r="K34" s="2"/>
      <x:c r="L34" s="2"/>
      <x:c r="M34" s="2"/>
    </x:row>
    <x:row r="35">
      <x:c r="A35" s="2"/>
      <x:c r="B35" s="2"/>
      <x:c r="C35" s="2"/>
      <x:c r="D35" s="2"/>
      <x:c r="E35" s="2"/>
      <x:c r="F35" s="2"/>
      <x:c r="G35" s="2"/>
      <x:c r="H35" s="2"/>
      <x:c r="I35" s="2"/>
      <x:c r="J35" s="2"/>
      <x:c r="K35" s="2"/>
      <x:c r="L35" s="2"/>
      <x:c r="M35" s="2"/>
    </x:row>
    <x:row r="36">
      <x:c r="A36" s="2"/>
      <x:c r="B36" s="2"/>
      <x:c r="C36" s="2"/>
      <x:c r="D36" s="2"/>
      <x:c r="E36" s="2"/>
      <x:c r="F36" s="2"/>
      <x:c r="G36" s="2"/>
      <x:c r="H36" s="2"/>
      <x:c r="I36" s="2"/>
      <x:c r="J36" s="2"/>
      <x:c r="K36" s="2"/>
      <x:c r="L36" s="2"/>
      <x:c r="M36" s="2"/>
    </x:row>
    <x:row r="37">
      <x:c r="A37" s="2"/>
      <x:c r="B37" s="2"/>
      <x:c r="C37" s="2"/>
      <x:c r="D37" s="2"/>
      <x:c r="E37" s="2"/>
      <x:c r="F37" s="2"/>
      <x:c r="G37" s="2"/>
      <x:c r="H37" s="2"/>
      <x:c r="I37" s="2"/>
      <x:c r="J37" s="2"/>
      <x:c r="K37" s="2"/>
      <x:c r="L37" s="2"/>
      <x:c r="M37" s="2"/>
    </x:row>
    <x:row r="38">
      <x:c r="A38" s="2"/>
      <x:c r="B38" s="2"/>
      <x:c r="C38" s="2"/>
      <x:c r="D38" s="2"/>
      <x:c r="E38" s="2"/>
      <x:c r="F38" s="2"/>
      <x:c r="G38" s="2"/>
      <x:c r="H38" s="2"/>
      <x:c r="I38" s="2"/>
      <x:c r="J38" s="2"/>
      <x:c r="K38" s="2"/>
      <x:c r="L38" s="2"/>
      <x:c r="M38" s="2"/>
    </x:row>
    <x:row r="39">
      <x:c r="A39" s="2"/>
      <x:c r="B39" s="2"/>
      <x:c r="C39" s="2"/>
      <x:c r="D39" s="2"/>
      <x:c r="E39" s="2"/>
      <x:c r="F39" s="2"/>
      <x:c r="G39" s="2"/>
      <x:c r="H39" s="2"/>
      <x:c r="I39" s="2"/>
      <x:c r="J39" s="2"/>
      <x:c r="K39" s="2"/>
      <x:c r="L39" s="2"/>
      <x:c r="M39" s="2"/>
    </x:row>
    <x:row r="40">
      <x:c r="A40" s="2"/>
      <x:c r="B40" s="2"/>
      <x:c r="C40" s="2"/>
      <x:c r="D40" s="2"/>
      <x:c r="E40" s="2"/>
      <x:c r="F40" s="2"/>
      <x:c r="G40" s="2"/>
      <x:c r="H40" s="2"/>
      <x:c r="I40" s="2"/>
      <x:c r="J40" s="2"/>
      <x:c r="K40" s="2"/>
      <x:c r="L40" s="2"/>
      <x:c r="M40" s="2"/>
    </x:row>
    <x:row r="41">
      <x:c r="A41" s="2"/>
      <x:c r="B41" s="2"/>
      <x:c r="C41" s="2"/>
      <x:c r="D41" s="2"/>
      <x:c r="E41" s="2"/>
      <x:c r="F41" s="2"/>
      <x:c r="G41" s="2"/>
      <x:c r="H41" s="2"/>
      <x:c r="I41" s="2"/>
      <x:c r="J41" s="2"/>
      <x:c r="K41" s="2"/>
      <x:c r="L41" s="2"/>
      <x:c r="M41" s="2"/>
    </x:row>
    <x:row r="42">
      <x:c r="A42" s="2"/>
      <x:c r="B42" s="2"/>
      <x:c r="C42" s="2"/>
      <x:c r="D42" s="2"/>
      <x:c r="E42" s="2"/>
      <x:c r="F42" s="2"/>
      <x:c r="G42" s="2"/>
      <x:c r="H42" s="2"/>
      <x:c r="I42" s="2"/>
      <x:c r="J42" s="2"/>
      <x:c r="K42" s="2"/>
      <x:c r="L42" s="2"/>
      <x:c r="M42" s="2"/>
    </x:row>
    <x:row r="43">
      <x:c r="A43" s="2"/>
      <x:c r="B43" s="2"/>
      <x:c r="C43" s="2"/>
      <x:c r="D43" s="2"/>
      <x:c r="E43" s="2"/>
      <x:c r="F43" s="2"/>
      <x:c r="G43" s="2"/>
      <x:c r="H43" s="2"/>
      <x:c r="I43" s="2"/>
      <x:c r="J43" s="2"/>
      <x:c r="K43" s="2"/>
      <x:c r="L43" s="2"/>
      <x:c r="M43" s="2"/>
    </x:row>
    <x:row r="44">
      <x:c r="A44" s="2"/>
      <x:c r="B44" s="2"/>
      <x:c r="C44" s="2"/>
      <x:c r="D44" s="2"/>
      <x:c r="E44" s="2"/>
      <x:c r="F44" s="2"/>
      <x:c r="G44" s="2"/>
      <x:c r="H44" s="2"/>
      <x:c r="I44" s="2"/>
      <x:c r="J44" s="2"/>
      <x:c r="K44" s="2"/>
      <x:c r="L44" s="2"/>
      <x:c r="M44" s="2"/>
    </x:row>
    <x:row r="45">
      <x:c r="A45" s="2"/>
      <x:c r="B45" s="2"/>
      <x:c r="C45" s="2"/>
      <x:c r="D45" s="2"/>
      <x:c r="E45" s="2"/>
      <x:c r="F45" s="2"/>
      <x:c r="G45" s="2"/>
      <x:c r="H45" s="2"/>
      <x:c r="I45" s="2"/>
      <x:c r="J45" s="2"/>
      <x:c r="K45" s="2"/>
      <x:c r="L45" s="2"/>
      <x:c r="M45" s="2"/>
    </x:row>
    <x:row r="46">
      <x:c r="A46" s="2"/>
      <x:c r="B46" s="2"/>
      <x:c r="C46" s="2"/>
      <x:c r="D46" s="2"/>
      <x:c r="E46" s="2"/>
      <x:c r="F46" s="2"/>
      <x:c r="G46" s="2"/>
      <x:c r="H46" s="2"/>
      <x:c r="I46" s="2"/>
      <x:c r="J46" s="2"/>
      <x:c r="K46" s="2"/>
      <x:c r="L46" s="2"/>
      <x:c r="M46" s="2"/>
    </x:row>
    <x:row r="47">
      <x:c r="A47" s="2"/>
      <x:c r="B47" s="2"/>
      <x:c r="C47" s="2"/>
      <x:c r="D47" s="2"/>
      <x:c r="E47" s="2"/>
      <x:c r="F47" s="2"/>
      <x:c r="G47" s="2"/>
      <x:c r="H47" s="2"/>
      <x:c r="I47" s="2"/>
      <x:c r="J47" s="2"/>
      <x:c r="K47" s="2"/>
      <x:c r="L47" s="2"/>
      <x:c r="M47" s="2"/>
    </x:row>
    <x:row r="48">
      <x:c r="A48" s="2"/>
      <x:c r="B48" s="2"/>
      <x:c r="C48" s="2"/>
      <x:c r="D48" s="2"/>
      <x:c r="E48" s="2"/>
      <x:c r="F48" s="2"/>
      <x:c r="G48" s="2"/>
      <x:c r="H48" s="2"/>
      <x:c r="I48" s="2"/>
      <x:c r="J48" s="2"/>
      <x:c r="K48" s="2"/>
      <x:c r="L48" s="2"/>
      <x:c r="M48" s="2"/>
    </x:row>
    <x:row r="49">
      <x:c r="A49" s="2"/>
      <x:c r="B49" s="2"/>
      <x:c r="C49" s="2"/>
      <x:c r="D49" s="2"/>
      <x:c r="E49" s="2"/>
      <x:c r="F49" s="2"/>
      <x:c r="G49" s="2"/>
      <x:c r="H49" s="2"/>
      <x:c r="I49" s="2"/>
      <x:c r="J49" s="2"/>
      <x:c r="K49" s="2"/>
      <x:c r="L49" s="2"/>
      <x:c r="M49" s="2"/>
    </x:row>
    <x:row r="50">
      <x:c r="A50" s="2"/>
      <x:c r="B50" s="2"/>
      <x:c r="C50" s="2"/>
      <x:c r="D50" s="2"/>
      <x:c r="E50" s="2"/>
      <x:c r="F50" s="2"/>
      <x:c r="G50" s="2"/>
      <x:c r="H50" s="2"/>
      <x:c r="I50" s="2"/>
      <x:c r="J50" s="2"/>
      <x:c r="K50" s="2"/>
      <x:c r="L50" s="2"/>
      <x:c r="M50" s="2"/>
    </x:row>
    <x:row r="51">
      <x:c r="A51" s="2"/>
      <x:c r="B51" s="2"/>
      <x:c r="C51" s="2"/>
      <x:c r="D51" s="2"/>
      <x:c r="E51" s="2"/>
      <x:c r="F51" s="2"/>
      <x:c r="G51" s="2"/>
      <x:c r="H51" s="2"/>
      <x:c r="I51" s="2"/>
      <x:c r="J51" s="2"/>
      <x:c r="K51" s="2"/>
      <x:c r="L51" s="2"/>
      <x:c r="M51" s="2"/>
    </x:row>
    <x:row r="52">
      <x:c r="A52" s="2"/>
      <x:c r="B52" s="2"/>
      <x:c r="C52" s="2"/>
      <x:c r="D52" s="2"/>
      <x:c r="E52" s="2"/>
      <x:c r="F52" s="2"/>
      <x:c r="G52" s="2"/>
      <x:c r="H52" s="2"/>
      <x:c r="I52" s="2"/>
      <x:c r="J52" s="2"/>
      <x:c r="K52" s="2"/>
      <x:c r="L52" s="2"/>
      <x:c r="M52" s="2"/>
    </x:row>
    <x:row r="53">
      <x:c r="A53" s="2"/>
      <x:c r="B53" s="2"/>
      <x:c r="C53" s="2"/>
      <x:c r="D53" s="2"/>
      <x:c r="E53" s="2"/>
      <x:c r="F53" s="2"/>
      <x:c r="G53" s="2"/>
      <x:c r="H53" s="2"/>
      <x:c r="I53" s="2"/>
      <x:c r="J53" s="2"/>
      <x:c r="K53" s="2"/>
      <x:c r="L53" s="2"/>
      <x:c r="M53" s="2"/>
    </x:row>
    <x:row r="54">
      <x:c r="A54" s="2"/>
      <x:c r="B54" s="2"/>
      <x:c r="C54" s="2"/>
      <x:c r="D54" s="2"/>
      <x:c r="E54" s="2"/>
      <x:c r="F54" s="2"/>
      <x:c r="G54" s="2"/>
      <x:c r="H54" s="2"/>
      <x:c r="I54" s="2"/>
      <x:c r="J54" s="2"/>
      <x:c r="K54" s="2"/>
      <x:c r="L54" s="2"/>
      <x:c r="M54" s="2"/>
    </x:row>
    <x:row r="55">
      <x:c r="A55" s="2"/>
      <x:c r="B55" s="2"/>
      <x:c r="C55" s="2"/>
      <x:c r="D55" s="2"/>
      <x:c r="E55" s="2"/>
      <x:c r="F55" s="2"/>
      <x:c r="G55" s="2"/>
      <x:c r="H55" s="2"/>
      <x:c r="I55" s="2"/>
      <x:c r="J55" s="2"/>
      <x:c r="K55" s="2"/>
      <x:c r="L55" s="2"/>
      <x:c r="M55" s="2"/>
    </x:row>
    <x:row r="56">
      <x:c r="A56" s="2"/>
      <x:c r="B56" s="2"/>
      <x:c r="C56" s="2"/>
      <x:c r="D56" s="2"/>
      <x:c r="E56" s="2"/>
      <x:c r="F56" s="2"/>
      <x:c r="G56" s="2"/>
      <x:c r="H56" s="2"/>
      <x:c r="I56" s="2"/>
      <x:c r="J56" s="2"/>
      <x:c r="K56" s="2"/>
      <x:c r="L56" s="2"/>
      <x:c r="M56" s="2"/>
    </x:row>
    <x:row r="57">
      <x:c r="A57" s="2"/>
      <x:c r="B57" s="2"/>
      <x:c r="C57" s="2"/>
      <x:c r="D57" s="2"/>
      <x:c r="E57" s="2"/>
      <x:c r="F57" s="2"/>
      <x:c r="G57" s="2"/>
      <x:c r="H57" s="2"/>
      <x:c r="I57" s="2"/>
      <x:c r="J57" s="2"/>
      <x:c r="K57" s="2"/>
      <x:c r="L57" s="2"/>
      <x:c r="M57" s="2"/>
    </x:row>
    <x:row r="58">
      <x:c r="A58" s="2"/>
      <x:c r="B58" s="2"/>
      <x:c r="C58" s="2"/>
      <x:c r="D58" s="2"/>
      <x:c r="E58" s="2"/>
      <x:c r="F58" s="2"/>
      <x:c r="G58" s="2"/>
      <x:c r="H58" s="2"/>
      <x:c r="I58" s="2"/>
      <x:c r="J58" s="2"/>
      <x:c r="K58" s="2"/>
      <x:c r="L58" s="2"/>
      <x:c r="M58" s="2"/>
    </x:row>
    <x:row r="59">
      <x:c r="A59" s="2"/>
      <x:c r="B59" s="2"/>
      <x:c r="C59" s="2"/>
      <x:c r="D59" s="2"/>
      <x:c r="E59" s="2"/>
      <x:c r="F59" s="2"/>
      <x:c r="G59" s="2"/>
      <x:c r="H59" s="2"/>
      <x:c r="I59" s="2"/>
      <x:c r="J59" s="2"/>
      <x:c r="K59" s="2"/>
      <x:c r="L59" s="2"/>
      <x:c r="M59" s="2"/>
    </x:row>
    <x:row r="60">
      <x:c r="A60" s="2"/>
      <x:c r="B60" s="2"/>
      <x:c r="C60" s="2"/>
      <x:c r="D60" s="2"/>
      <x:c r="E60" s="2"/>
      <x:c r="F60" s="2"/>
      <x:c r="G60" s="2"/>
      <x:c r="H60" s="2"/>
      <x:c r="I60" s="2"/>
      <x:c r="J60" s="2"/>
      <x:c r="K60" s="2"/>
      <x:c r="L60" s="2"/>
      <x:c r="M60" s="2"/>
    </x:row>
    <x:row r="61">
      <x:c r="A61" s="2"/>
      <x:c r="B61" s="2"/>
      <x:c r="C61" s="2"/>
      <x:c r="D61" s="2"/>
      <x:c r="E61" s="2"/>
      <x:c r="F61" s="2"/>
      <x:c r="G61" s="2"/>
      <x:c r="H61" s="2"/>
      <x:c r="I61" s="2"/>
      <x:c r="J61" s="2"/>
      <x:c r="K61" s="2"/>
      <x:c r="L61" s="2"/>
      <x:c r="M61" s="2"/>
    </x:row>
    <x:row r="62">
      <x:c r="A62" s="2"/>
      <x:c r="B62" s="2"/>
      <x:c r="C62" s="2"/>
      <x:c r="D62" s="2"/>
      <x:c r="E62" s="2"/>
      <x:c r="F62" s="2"/>
      <x:c r="G62" s="2"/>
      <x:c r="H62" s="2"/>
      <x:c r="I62" s="2"/>
      <x:c r="J62" s="2"/>
      <x:c r="K62" s="2"/>
      <x:c r="L62" s="2"/>
      <x:c r="M62" s="2"/>
    </x:row>
    <x:row r="63">
      <x:c r="A63" s="2"/>
      <x:c r="B63" s="2"/>
      <x:c r="C63" s="2"/>
      <x:c r="D63" s="2"/>
      <x:c r="E63" s="2"/>
      <x:c r="F63" s="2"/>
      <x:c r="G63" s="2"/>
      <x:c r="H63" s="2"/>
      <x:c r="I63" s="2"/>
      <x:c r="J63" s="2"/>
      <x:c r="K63" s="2"/>
      <x:c r="L63" s="2"/>
      <x:c r="M63" s="2"/>
    </x:row>
    <x:row r="64">
      <x:c r="A64" s="2"/>
      <x:c r="B64" s="2"/>
      <x:c r="C64" s="2"/>
      <x:c r="D64" s="2"/>
      <x:c r="E64" s="2"/>
      <x:c r="F64" s="2"/>
      <x:c r="G64" s="2"/>
      <x:c r="H64" s="2"/>
      <x:c r="I64" s="2"/>
      <x:c r="J64" s="2"/>
      <x:c r="K64" s="2"/>
      <x:c r="L64" s="2"/>
      <x:c r="M64" s="2"/>
    </x:row>
    <x:row r="65">
      <x:c r="A65" s="2"/>
      <x:c r="B65" s="2"/>
      <x:c r="C65" s="2"/>
      <x:c r="D65" s="2"/>
      <x:c r="E65" s="2"/>
      <x:c r="F65" s="2"/>
      <x:c r="G65" s="2"/>
      <x:c r="H65" s="2"/>
      <x:c r="I65" s="2"/>
      <x:c r="J65" s="2"/>
      <x:c r="K65" s="2"/>
      <x:c r="L65" s="2"/>
      <x:c r="M65" s="2"/>
    </x:row>
    <x:row r="66">
      <x:c r="A66" s="2"/>
      <x:c r="B66" s="2"/>
      <x:c r="C66" s="2"/>
      <x:c r="D66" s="2"/>
      <x:c r="E66" s="2"/>
      <x:c r="F66" s="2"/>
      <x:c r="G66" s="2"/>
      <x:c r="H66" s="2"/>
      <x:c r="I66" s="2"/>
      <x:c r="J66" s="2"/>
      <x:c r="K66" s="2"/>
      <x:c r="L66" s="2"/>
      <x:c r="M66" s="2"/>
    </x:row>
    <x:row r="67">
      <x:c r="A67" s="2"/>
      <x:c r="B67" s="2"/>
      <x:c r="C67" s="2"/>
      <x:c r="D67" s="2"/>
      <x:c r="E67" s="2"/>
      <x:c r="F67" s="2"/>
      <x:c r="G67" s="2"/>
      <x:c r="H67" s="2"/>
      <x:c r="I67" s="2"/>
      <x:c r="J67" s="2"/>
      <x:c r="K67" s="2"/>
      <x:c r="L67" s="2"/>
      <x:c r="M67" s="2"/>
    </x:row>
    <x:row r="68">
      <x:c r="A68" s="2"/>
      <x:c r="B68" s="2"/>
      <x:c r="C68" s="2"/>
      <x:c r="D68" s="2"/>
      <x:c r="E68" s="2"/>
      <x:c r="F68" s="2"/>
      <x:c r="G68" s="2"/>
      <x:c r="H68" s="2"/>
      <x:c r="I68" s="2"/>
      <x:c r="J68" s="2"/>
      <x:c r="K68" s="2"/>
      <x:c r="L68" s="2"/>
      <x:c r="M68" s="2"/>
    </x:row>
    <x:row r="69">
      <x:c r="A69" s="2"/>
      <x:c r="B69" s="2"/>
      <x:c r="C69" s="2"/>
      <x:c r="D69" s="2"/>
      <x:c r="E69" s="2"/>
      <x:c r="F69" s="2"/>
      <x:c r="G69" s="2"/>
      <x:c r="H69" s="2"/>
      <x:c r="I69" s="2"/>
      <x:c r="J69" s="2"/>
      <x:c r="K69" s="2"/>
      <x:c r="L69" s="2"/>
      <x:c r="M69" s="2"/>
    </x:row>
    <x:row r="70">
      <x:c r="A70" s="2"/>
      <x:c r="B70" s="2"/>
      <x:c r="C70" s="2"/>
      <x:c r="D70" s="2"/>
      <x:c r="E70" s="2"/>
      <x:c r="F70" s="2"/>
      <x:c r="G70" s="2"/>
      <x:c r="H70" s="2"/>
      <x:c r="I70" s="2"/>
      <x:c r="J70" s="2"/>
      <x:c r="K70" s="2"/>
      <x:c r="L70" s="2"/>
      <x:c r="M70" s="2"/>
    </x:row>
    <x:row r="71">
      <x:c r="A71" s="2"/>
      <x:c r="B71" s="2"/>
      <x:c r="C71" s="2"/>
      <x:c r="D71" s="2"/>
      <x:c r="E71" s="2"/>
      <x:c r="F71" s="2"/>
      <x:c r="G71" s="2"/>
      <x:c r="H71" s="2"/>
      <x:c r="I71" s="2"/>
      <x:c r="J71" s="2"/>
      <x:c r="K71" s="2"/>
      <x:c r="L71" s="2"/>
      <x:c r="M71" s="2"/>
    </x:row>
    <x:row r="72">
      <x:c r="A72" s="2"/>
      <x:c r="B72" s="2"/>
      <x:c r="C72" s="2"/>
      <x:c r="D72" s="2"/>
      <x:c r="E72" s="2"/>
      <x:c r="F72" s="2"/>
      <x:c r="G72" s="2"/>
      <x:c r="H72" s="2"/>
      <x:c r="I72" s="2"/>
      <x:c r="J72" s="2"/>
      <x:c r="K72" s="2"/>
      <x:c r="L72" s="2"/>
      <x:c r="M72" s="2"/>
    </x:row>
    <x:row r="73">
      <x:c r="A73" s="2"/>
      <x:c r="B73" s="2"/>
      <x:c r="C73" s="2"/>
      <x:c r="D73" s="2"/>
      <x:c r="E73" s="2"/>
      <x:c r="F73" s="2"/>
      <x:c r="G73" s="2"/>
      <x:c r="H73" s="2"/>
      <x:c r="I73" s="2"/>
      <x:c r="J73" s="2"/>
      <x:c r="K73" s="2"/>
      <x:c r="L73" s="2"/>
      <x:c r="M73" s="2"/>
    </x:row>
    <x:row r="74">
      <x:c r="A74" s="2"/>
      <x:c r="B74" s="2"/>
      <x:c r="C74" s="2"/>
      <x:c r="D74" s="2"/>
      <x:c r="E74" s="2"/>
      <x:c r="F74" s="2"/>
      <x:c r="G74" s="2"/>
      <x:c r="H74" s="2"/>
      <x:c r="I74" s="2"/>
      <x:c r="J74" s="2"/>
      <x:c r="K74" s="2"/>
      <x:c r="L74" s="2"/>
      <x:c r="M74" s="2"/>
    </x:row>
    <x:row r="75">
      <x:c r="A75" s="2"/>
      <x:c r="B75" s="2"/>
      <x:c r="C75" s="2"/>
      <x:c r="D75" s="2"/>
      <x:c r="E75" s="2"/>
      <x:c r="F75" s="2"/>
      <x:c r="G75" s="2"/>
      <x:c r="H75" s="2"/>
      <x:c r="I75" s="2"/>
      <x:c r="J75" s="2"/>
      <x:c r="K75" s="2"/>
      <x:c r="L75" s="2"/>
      <x:c r="M75" s="2"/>
    </x:row>
    <x:row r="76">
      <x:c r="A76" s="2"/>
      <x:c r="B76" s="2"/>
      <x:c r="C76" s="2"/>
      <x:c r="D76" s="2"/>
      <x:c r="E76" s="2"/>
      <x:c r="F76" s="2"/>
      <x:c r="G76" s="2"/>
      <x:c r="H76" s="2"/>
      <x:c r="I76" s="2"/>
      <x:c r="J76" s="2"/>
      <x:c r="K76" s="2"/>
      <x:c r="L76" s="2"/>
      <x:c r="M76" s="2"/>
    </x:row>
    <x:row r="77">
      <x:c r="A77" s="2"/>
      <x:c r="B77" s="2"/>
      <x:c r="C77" s="2"/>
      <x:c r="D77" s="2"/>
      <x:c r="E77" s="2"/>
      <x:c r="F77" s="2"/>
      <x:c r="G77" s="2"/>
      <x:c r="H77" s="2"/>
      <x:c r="I77" s="2"/>
      <x:c r="J77" s="2"/>
      <x:c r="K77" s="2"/>
      <x:c r="L77" s="2"/>
      <x:c r="M77" s="2"/>
    </x:row>
    <x:row r="78">
      <x:c r="A78" s="2"/>
      <x:c r="B78" s="2"/>
      <x:c r="C78" s="2"/>
      <x:c r="D78" s="2"/>
      <x:c r="E78" s="2"/>
      <x:c r="F78" s="2"/>
      <x:c r="G78" s="2"/>
      <x:c r="H78" s="2"/>
      <x:c r="I78" s="2"/>
      <x:c r="J78" s="2"/>
      <x:c r="K78" s="2"/>
      <x:c r="L78" s="2"/>
      <x:c r="M78" s="2"/>
    </x:row>
    <x:row r="79">
      <x:c r="A79" s="2"/>
      <x:c r="B79" s="2"/>
      <x:c r="C79" s="2"/>
      <x:c r="D79" s="2"/>
      <x:c r="E79" s="2"/>
      <x:c r="F79" s="2"/>
      <x:c r="G79" s="2"/>
      <x:c r="H79" s="2"/>
      <x:c r="I79" s="2"/>
      <x:c r="J79" s="2"/>
      <x:c r="K79" s="2"/>
      <x:c r="L79" s="2"/>
      <x:c r="M79" s="2"/>
    </x:row>
    <x:row r="80">
      <x:c r="A80" s="2"/>
      <x:c r="B80" s="2"/>
      <x:c r="C80" s="2"/>
      <x:c r="D80" s="2"/>
      <x:c r="E80" s="2"/>
      <x:c r="F80" s="2"/>
      <x:c r="G80" s="2"/>
      <x:c r="H80" s="2"/>
      <x:c r="I80" s="2"/>
      <x:c r="J80" s="2"/>
      <x:c r="K80" s="2"/>
      <x:c r="L80" s="2"/>
      <x:c r="M80" s="2"/>
    </x:row>
  </x:sheetData>
  <x:mergeCells>
    <x:mergeCell ref="A2:M2"/>
    <x:mergeCell ref="A4:M4"/>
    <x:mergeCell ref="A6:M7"/>
    <x:mergeCell ref="A20:C20"/>
    <x:mergeCell ref="A23:F23"/>
    <x:mergeCell ref="H23:M23"/>
    <x:mergeCell ref="H24:M25"/>
    <x:mergeCell ref="H26:M28"/>
  </x:mergeCells>
  <x:pageMargins left="0.7" right="0.7" top="0.75" bottom="0.75" header="0.3" footer="0.3"/>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8" hidden="0" customWidth="1"/>
    <x:col min="3" max="3" width="15" hidden="0" customWidth="1"/>
    <x:col min="4" max="4" width="17" hidden="0" customWidth="1"/>
    <x:col min="5" max="5" width="38" hidden="0" customWidth="1"/>
    <x:col min="6" max="6" width="23" hidden="0" customWidth="1"/>
    <x:col min="7" max="7" width="18" hidden="0" customWidth="1"/>
    <x:col min="8" max="8" width="18" hidden="0" customWidth="1"/>
    <x:col min="9" max="9" width="18" hidden="0" customWidth="1"/>
    <x:col min="10" max="10" width="18" hidden="0" customWidth="1"/>
  </x:cols>
  <x:sheetData>
    <x:row r="1" ht="8" customHeight="1">
      <x:c r="A1" s="2"/>
      <x:c r="B1" s="2"/>
      <x:c r="C1" s="2"/>
      <x:c r="D1" s="2"/>
      <x:c r="E1" s="2"/>
      <x:c r="F1" s="2"/>
      <x:c r="G1" s="2"/>
      <x:c r="H1" s="2"/>
      <x:c r="I1" s="2"/>
      <x:c r="J1" s="2"/>
    </x:row>
    <x:row r="2" ht="32" customHeight="1">
      <x:c r="A2" s="4" t="str">
        <x:v>J14 — Standard de changement de série proposé</x:v>
      </x:c>
      <x:c r="B2" s="2"/>
      <x:c r="C2" s="2"/>
      <x:c r="D2" s="2"/>
      <x:c r="E2" s="2"/>
      <x:c r="F2" s="2"/>
      <x:c r="G2" s="2"/>
      <x:c r="H2" s="2"/>
      <x:c r="I2" s="2"/>
      <x:c r="J2" s="2"/>
    </x:row>
    <x:row r="3" ht="5" customHeight="1">
      <x:c r="A3" s="5"/>
      <x:c r="B3" s="5"/>
      <x:c r="C3" s="5"/>
      <x:c r="D3" s="5"/>
      <x:c r="E3" s="5"/>
      <x:c r="F3" s="5"/>
      <x:c r="G3" s="5"/>
      <x:c r="H3" s="5"/>
      <x:c r="I3" s="5"/>
      <x:c r="J3" s="5"/>
    </x:row>
    <x:row r="4" ht="25" customHeight="1">
      <x:c r="A4" s="8" t="str">
        <x:v>Version pilote : préparation externe, séquence interne chronométrée et contrôle qualité.</x:v>
      </x:c>
      <x:c r="B4" s="2"/>
      <x:c r="C4" s="2"/>
      <x:c r="D4" s="2"/>
      <x:c r="E4" s="2"/>
      <x:c r="F4" s="2"/>
      <x:c r="G4" s="2"/>
      <x:c r="H4" s="2"/>
      <x:c r="I4" s="2"/>
      <x:c r="J4" s="2"/>
    </x:row>
    <x:row r="5">
      <x:c r="A5" s="2"/>
      <x:c r="B5" s="2"/>
      <x:c r="C5" s="2"/>
      <x:c r="D5" s="2"/>
      <x:c r="E5" s="2"/>
      <x:c r="F5" s="2"/>
      <x:c r="G5" s="2"/>
      <x:c r="H5" s="2"/>
      <x:c r="I5" s="2"/>
      <x:c r="J5" s="2"/>
    </x:row>
    <x:row r="6" ht="24" customHeight="1">
      <x:c r="A6" s="9" t="str">
        <x:v>A. Préparation externe — avant arrêt de ST50</x:v>
      </x:c>
      <x:c r="B6" s="9"/>
      <x:c r="C6" s="9"/>
      <x:c r="D6" s="9"/>
      <x:c r="E6" s="9"/>
      <x:c r="F6" s="9"/>
      <x:c r="G6" s="9"/>
      <x:c r="H6" s="9"/>
      <x:c r="I6" s="9"/>
      <x:c r="J6" s="9"/>
    </x:row>
    <x:row r="7">
      <x:c r="A7" s="18" t="str">
        <x:v>N°</x:v>
      </x:c>
      <x:c r="B7" s="19" t="str">
        <x:v>Action</x:v>
      </x:c>
      <x:c r="C7" s="19" t="str">
        <x:v>Responsable</x:v>
      </x:c>
      <x:c r="D7" s="19" t="str">
        <x:v>Moment</x:v>
      </x:c>
      <x:c r="E7" s="20" t="str">
        <x:v>Critère de vérification</x:v>
      </x:c>
      <x:c r="F7" s="2"/>
      <x:c r="G7" s="2"/>
      <x:c r="H7" s="2"/>
      <x:c r="I7" s="2"/>
      <x:c r="J7" s="2"/>
    </x:row>
    <x:row r="8" ht="36" customHeight="1">
      <x:c r="A8" s="22" t="n">
        <x:v>1</x:v>
      </x:c>
      <x:c r="B8" s="35" t="str">
        <x:v>Confirmer variante, ordre et dossier de fabrication.</x:v>
      </x:c>
      <x:c r="C8" s="35" t="str">
        <x:v>Planification</x:v>
      </x:c>
      <x:c r="D8" s="35" t="str">
        <x:v>Avant la dernière pièce</x:v>
      </x:c>
      <x:c r="E8" s="38" t="str">
        <x:v>Variante, ordre et dossier disponibles</x:v>
      </x:c>
      <x:c r="F8" s="2"/>
      <x:c r="G8" s="2"/>
      <x:c r="H8" s="2"/>
      <x:c r="I8" s="2"/>
      <x:c r="J8" s="2"/>
    </x:row>
    <x:row r="9" ht="36" customHeight="1">
      <x:c r="A9" s="25" t="n">
        <x:v>2</x:v>
      </x:c>
      <x:c r="B9" s="36" t="str">
        <x:v>Préparer le chariot SMED avec outillages, adaptateurs et consommables.</x:v>
      </x:c>
      <x:c r="C9" s="36" t="str">
        <x:v>Logistique</x:v>
      </x:c>
      <x:c r="D9" s="36" t="str">
        <x:v>Avant la dernière pièce</x:v>
      </x:c>
      <x:c r="E9" s="39" t="str">
        <x:v>Chariot complet au poste</x:v>
      </x:c>
      <x:c r="F9" s="2"/>
      <x:c r="G9" s="2"/>
      <x:c r="H9" s="2"/>
      <x:c r="I9" s="2"/>
      <x:c r="J9" s="2"/>
    </x:row>
    <x:row r="10" ht="36" customHeight="1">
      <x:c r="A10" s="25" t="n">
        <x:v>3</x:v>
      </x:c>
      <x:c r="B10" s="36" t="str">
        <x:v>Pré-nettoyer les éléments hors machine.</x:v>
      </x:c>
      <x:c r="C10" s="36" t="str">
        <x:v>Production</x:v>
      </x:c>
      <x:c r="D10" s="36" t="str">
        <x:v>Avant la dernière pièce</x:v>
      </x:c>
      <x:c r="E10" s="39" t="str">
        <x:v>Éléments propres et prêts</x:v>
      </x:c>
      <x:c r="F10" s="2"/>
      <x:c r="G10" s="2"/>
      <x:c r="H10" s="2"/>
      <x:c r="I10" s="2"/>
      <x:c r="J10" s="2"/>
    </x:row>
    <x:row r="11" ht="36" customHeight="1">
      <x:c r="A11" s="27" t="n">
        <x:v>4</x:v>
      </x:c>
      <x:c r="B11" s="37" t="str">
        <x:v>Précharger la recette de test et vérifier sa version.</x:v>
      </x:c>
      <x:c r="C11" s="37" t="str">
        <x:v>Industrialisation</x:v>
      </x:c>
      <x:c r="D11" s="37" t="str">
        <x:v>Avant la dernière pièce</x:v>
      </x:c>
      <x:c r="E11" s="40" t="str">
        <x:v>Référence et version de recette conformes</x:v>
      </x:c>
      <x:c r="F11" s="2"/>
      <x:c r="G11" s="2"/>
      <x:c r="H11" s="2"/>
      <x:c r="I11" s="2"/>
      <x:c r="J11" s="2"/>
    </x:row>
    <x:row r="12">
      <x:c r="A12" s="2"/>
      <x:c r="B12" s="2"/>
      <x:c r="C12" s="2"/>
      <x:c r="D12" s="2"/>
      <x:c r="E12" s="2"/>
      <x:c r="F12" s="2"/>
      <x:c r="G12" s="2"/>
      <x:c r="H12" s="2"/>
      <x:c r="I12" s="2"/>
      <x:c r="J12" s="2"/>
    </x:row>
    <x:row r="13">
      <x:c r="A13" s="2"/>
      <x:c r="B13" s="2"/>
      <x:c r="C13" s="2"/>
      <x:c r="D13" s="2"/>
      <x:c r="E13" s="2"/>
      <x:c r="F13" s="2"/>
      <x:c r="G13" s="2"/>
      <x:c r="H13" s="2"/>
      <x:c r="I13" s="2"/>
      <x:c r="J13" s="2"/>
    </x:row>
    <x:row r="14" ht="24" customHeight="1">
      <x:c r="A14" s="9" t="str">
        <x:v>B. Séquence interne standard — machine arrêtée</x:v>
      </x:c>
      <x:c r="B14" s="9"/>
      <x:c r="C14" s="9"/>
      <x:c r="D14" s="9"/>
      <x:c r="E14" s="9"/>
      <x:c r="F14" s="9"/>
      <x:c r="G14" s="9"/>
      <x:c r="H14" s="9"/>
      <x:c r="I14" s="9"/>
      <x:c r="J14" s="9"/>
    </x:row>
    <x:row r="15" ht="24" customHeight="1">
      <x:c r="A15" s="18" t="str">
        <x:v>Étape</x:v>
      </x:c>
      <x:c r="B15" s="19" t="str">
        <x:v>Activité</x:v>
      </x:c>
      <x:c r="C15" s="19" t="str">
        <x:v>Cible (s)</x:v>
      </x:c>
      <x:c r="D15" s="19" t="str">
        <x:v>Cumul (s)</x:v>
      </x:c>
      <x:c r="E15" s="19" t="str">
        <x:v>Contrôle</x:v>
      </x:c>
      <x:c r="F15" s="20" t="str">
        <x:v>Rôle</x:v>
      </x:c>
      <x:c r="G15" s="2"/>
      <x:c r="H15" s="9" t="str">
        <x:v>Règles de libération</x:v>
      </x:c>
      <x:c r="I15" s="9"/>
      <x:c r="J15" s="9"/>
    </x:row>
    <x:row r="16" ht="38" customHeight="1">
      <x:c r="A16" s="22" t="n">
        <x:v>1</x:v>
      </x:c>
      <x:c r="B16" s="35" t="str">
        <x:v>Arrêter et sécuriser le banc</x:v>
      </x:c>
      <x:c r="C16" s="41" t="n">
        <x:v>75</x:v>
      </x:c>
      <x:c r="D16" s="41" t="n">
        <x:f>C16</x:f>
        <x:v>75</x:v>
      </x:c>
      <x:c r="E16" s="35" t="str">
        <x:v>Énergie isolée; dernière pièce identifiée</x:v>
      </x:c>
      <x:c r="F16" s="38" t="str">
        <x:v>Production</x:v>
      </x:c>
      <x:c r="G16" s="2"/>
      <x:c r="H16" s="145" t="str">
        <x:v>Le changement est terminé seulement après premier article PASS; le gain de temps ne doit pas dégrader le FPY.</x:v>
      </x:c>
      <x:c r="I16" s="146"/>
      <x:c r="J16" s="147"/>
    </x:row>
    <x:row r="17" ht="38" customHeight="1">
      <x:c r="A17" s="25" t="n">
        <x:v>2</x:v>
      </x:c>
      <x:c r="B17" s="36" t="str">
        <x:v>Déposer les fixations précédentes</x:v>
      </x:c>
      <x:c r="C17" s="43" t="n">
        <x:v>150</x:v>
      </x:c>
      <x:c r="D17" s="43" t="n">
        <x:f>D16+C17</x:f>
        <x:v>225</x:v>
      </x:c>
      <x:c r="E17" s="36" t="str">
        <x:v>Pièces déposées sur emplacement identifié</x:v>
      </x:c>
      <x:c r="F17" s="39" t="str">
        <x:v>Production</x:v>
      </x:c>
      <x:c r="G17" s="2"/>
      <x:c r="H17" s="148"/>
      <x:c r="I17" s="149"/>
      <x:c r="J17" s="150"/>
    </x:row>
    <x:row r="18" ht="38" customHeight="1">
      <x:c r="A18" s="25" t="n">
        <x:v>3</x:v>
      </x:c>
      <x:c r="B18" s="36" t="str">
        <x:v>Nettoyage final des interfaces</x:v>
      </x:c>
      <x:c r="C18" s="43" t="n">
        <x:v>45</x:v>
      </x:c>
      <x:c r="D18" s="43" t="n">
        <x:f>D17+C18</x:f>
        <x:v>270</x:v>
      </x:c>
      <x:c r="E18" s="36" t="str">
        <x:v>Surfaces propres et accessibles</x:v>
      </x:c>
      <x:c r="F18" s="39" t="str">
        <x:v>Production</x:v>
      </x:c>
      <x:c r="G18" s="2"/>
      <x:c r="H18" s="151"/>
      <x:c r="I18" s="152"/>
      <x:c r="J18" s="153"/>
    </x:row>
    <x:row r="19" ht="38" customHeight="1">
      <x:c r="A19" s="25" t="n">
        <x:v>4</x:v>
      </x:c>
      <x:c r="B19" s="36" t="str">
        <x:v>Installer le nouvel outillage</x:v>
      </x:c>
      <x:c r="C19" s="43" t="n">
        <x:v>180</x:v>
      </x:c>
      <x:c r="D19" s="43" t="n">
        <x:f>D18+C19</x:f>
        <x:v>450</x:v>
      </x:c>
      <x:c r="E19" s="36" t="str">
        <x:v>Butées en contact; bridages verrouillés</x:v>
      </x:c>
      <x:c r="F19" s="39" t="str">
        <x:v>Méthodes / Production</x:v>
      </x:c>
      <x:c r="G19" s="2"/>
      <x:c r="H19" s="2"/>
      <x:c r="I19" s="2"/>
      <x:c r="J19" s="2"/>
    </x:row>
    <x:row r="20" ht="38" customHeight="1">
      <x:c r="A20" s="25" t="n">
        <x:v>5</x:v>
      </x:c>
      <x:c r="B20" s="36" t="str">
        <x:v>Valider la recette préchargée</x:v>
      </x:c>
      <x:c r="C20" s="43" t="n">
        <x:v>20</x:v>
      </x:c>
      <x:c r="D20" s="43" t="n">
        <x:f>D19+C20</x:f>
        <x:v>470</x:v>
      </x:c>
      <x:c r="E20" s="36" t="str">
        <x:v>Référence et version conformes</x:v>
      </x:c>
      <x:c r="F20" s="39" t="str">
        <x:v>Industrialisation</x:v>
      </x:c>
      <x:c r="G20" s="2"/>
      <x:c r="H20" s="76" t="str">
        <x:v>Chronométrer au moins 10 changements par transition produit avant de figer le standard.</x:v>
      </x:c>
      <x:c r="I20" s="77"/>
      <x:c r="J20" s="78"/>
    </x:row>
    <x:row r="21" ht="38" customHeight="1">
      <x:c r="A21" s="25" t="n">
        <x:v>6</x:v>
      </x:c>
      <x:c r="B21" s="36" t="str">
        <x:v>Raccorder capteurs et câbles</x:v>
      </x:c>
      <x:c r="C21" s="43" t="n">
        <x:v>120</x:v>
      </x:c>
      <x:c r="D21" s="43" t="n">
        <x:f>D20+C21</x:f>
        <x:v>590</x:v>
      </x:c>
      <x:c r="E21" s="36" t="str">
        <x:v>Repères et détrompages vérifiés</x:v>
      </x:c>
      <x:c r="F21" s="39" t="str">
        <x:v>Maintenance / Production</x:v>
      </x:c>
      <x:c r="G21" s="2"/>
      <x:c r="H21" s="156"/>
      <x:c r="I21" s="157"/>
      <x:c r="J21" s="158"/>
    </x:row>
    <x:row r="22" ht="38" customHeight="1">
      <x:c r="A22" s="25" t="n">
        <x:v>7</x:v>
      </x:c>
      <x:c r="B22" s="36" t="str">
        <x:v>Vérifier montage et réglages</x:v>
      </x:c>
      <x:c r="C22" s="43" t="n">
        <x:v>80</x:v>
      </x:c>
      <x:c r="D22" s="43" t="n">
        <x:f>D21+C22</x:f>
        <x:v>670</x:v>
      </x:c>
      <x:c r="E22" s="36" t="str">
        <x:v>Checklist sans anomalie</x:v>
      </x:c>
      <x:c r="F22" s="39" t="str">
        <x:v>Qualité</x:v>
      </x:c>
      <x:c r="G22" s="2"/>
      <x:c r="H22" s="156"/>
      <x:c r="I22" s="157"/>
      <x:c r="J22" s="158"/>
    </x:row>
    <x:row r="23" ht="38" customHeight="1">
      <x:c r="A23" s="27" t="n">
        <x:v>8</x:v>
      </x:c>
      <x:c r="B23" s="37" t="str">
        <x:v>Tester la première pièce et libérer</x:v>
      </x:c>
      <x:c r="C23" s="45" t="n">
        <x:v>80</x:v>
      </x:c>
      <x:c r="D23" s="45" t="n">
        <x:f>D22+C23</x:f>
        <x:v>750</x:v>
      </x:c>
      <x:c r="E23" s="37" t="str">
        <x:v>Premier article PASS; traçabilité enregistrée</x:v>
      </x:c>
      <x:c r="F23" s="40" t="str">
        <x:v>Qualité</x:v>
      </x:c>
      <x:c r="G23" s="2"/>
      <x:c r="H23" s="79"/>
      <x:c r="I23" s="80"/>
      <x:c r="J23" s="81"/>
    </x:row>
    <x:row r="24">
      <x:c r="A24" s="91" t="str">
        <x:v>TOTAL / CIBLE DÉRIVÉE</x:v>
      </x:c>
      <x:c r="B24" s="91"/>
      <x:c r="C24" s="91" t="n">
        <x:f>SUM(C16:C23)</x:f>
        <x:v>750</x:v>
      </x:c>
      <x:c r="D24" s="91" t="n">
        <x:f>D23</x:f>
        <x:v>750</x:v>
      </x:c>
      <x:c r="E24" s="91"/>
      <x:c r="F24" s="91"/>
      <x:c r="G24" s="2"/>
      <x:c r="H24" s="2"/>
      <x:c r="I24" s="2"/>
      <x:c r="J24" s="2"/>
    </x:row>
    <x:row r="25">
      <x:c r="A25" s="2"/>
      <x:c r="B25" s="2"/>
      <x:c r="C25" s="2"/>
      <x:c r="D25" s="2"/>
      <x:c r="E25" s="2"/>
      <x:c r="F25" s="2"/>
      <x:c r="G25" s="2"/>
      <x:c r="H25" s="2"/>
      <x:c r="I25" s="2"/>
      <x:c r="J25" s="2"/>
    </x:row>
    <x:row r="26">
      <x:c r="A26" s="2"/>
      <x:c r="B26" s="2"/>
      <x:c r="C26" s="2"/>
      <x:c r="D26" s="2"/>
      <x:c r="E26" s="2"/>
      <x:c r="F26" s="2"/>
      <x:c r="G26" s="2"/>
      <x:c r="H26" s="2"/>
      <x:c r="I26" s="2"/>
      <x:c r="J26" s="2"/>
    </x:row>
    <x:row r="27">
      <x:c r="A27" s="2"/>
      <x:c r="B27" s="2"/>
      <x:c r="C27" s="2"/>
      <x:c r="D27" s="2"/>
      <x:c r="E27" s="2"/>
      <x:c r="F27" s="2"/>
      <x:c r="G27" s="2"/>
      <x:c r="H27" s="2"/>
      <x:c r="I27" s="2"/>
      <x:c r="J27" s="2"/>
    </x:row>
    <x:row r="28" ht="24" customHeight="1">
      <x:c r="A28" s="9" t="str">
        <x:v>C. Enregistrement obligatoire à chaque changement</x:v>
      </x:c>
      <x:c r="B28" s="9"/>
      <x:c r="C28" s="9"/>
      <x:c r="D28" s="9"/>
      <x:c r="E28" s="9"/>
      <x:c r="F28" s="9"/>
      <x:c r="G28" s="9"/>
      <x:c r="H28" s="9"/>
      <x:c r="I28" s="9"/>
      <x:c r="J28" s="9"/>
    </x:row>
    <x:row r="29">
      <x:c r="A29" s="18" t="str">
        <x:v>Date/heure</x:v>
      </x:c>
      <x:c r="B29" s="19" t="str">
        <x:v>Transition</x:v>
      </x:c>
      <x:c r="C29" s="19" t="str">
        <x:v>Temps interne réel (s)</x:v>
      </x:c>
      <x:c r="D29" s="19" t="str">
        <x:v>Premier article</x:v>
      </x:c>
      <x:c r="E29" s="19" t="str">
        <x:v>Écart / cause</x:v>
      </x:c>
      <x:c r="F29" s="20" t="str">
        <x:v>Action immédiate</x:v>
      </x:c>
      <x:c r="G29" s="2"/>
      <x:c r="H29" s="168" t="str">
        <x:v>Le standard reste « proposé » tant que les chronométrages terrain ne confirment pas la séquence et la cible. Toute réduction doit préserver le premier article conforme et la sécurité.</x:v>
      </x:c>
      <x:c r="I29" s="169"/>
      <x:c r="J29" s="170"/>
    </x:row>
    <x:row r="30" ht="25" customHeight="1">
      <x:c r="A30" s="22" t="str"/>
      <x:c r="B30" s="23" t="str"/>
      <x:c r="C30" s="23" t="str"/>
      <x:c r="D30" s="23" t="str"/>
      <x:c r="E30" s="23" t="str"/>
      <x:c r="F30" s="24" t="str"/>
      <x:c r="G30" s="2"/>
      <x:c r="H30" s="171"/>
      <x:c r="I30" s="172"/>
      <x:c r="J30" s="173"/>
    </x:row>
    <x:row r="31" ht="25" customHeight="1">
      <x:c r="A31" s="25" t="str"/>
      <x:c r="B31" s="21" t="str"/>
      <x:c r="C31" s="21" t="str"/>
      <x:c r="D31" s="21" t="str"/>
      <x:c r="E31" s="21" t="str"/>
      <x:c r="F31" s="26" t="str"/>
      <x:c r="G31" s="2"/>
      <x:c r="H31" s="171"/>
      <x:c r="I31" s="172"/>
      <x:c r="J31" s="173"/>
    </x:row>
    <x:row r="32" ht="25" customHeight="1">
      <x:c r="A32" s="25" t="str"/>
      <x:c r="B32" s="21" t="str"/>
      <x:c r="C32" s="21" t="str"/>
      <x:c r="D32" s="21" t="str"/>
      <x:c r="E32" s="21" t="str"/>
      <x:c r="F32" s="26" t="str"/>
      <x:c r="G32" s="2"/>
      <x:c r="H32" s="171"/>
      <x:c r="I32" s="172"/>
      <x:c r="J32" s="173"/>
    </x:row>
    <x:row r="33" ht="25" customHeight="1">
      <x:c r="A33" s="25" t="str"/>
      <x:c r="B33" s="21" t="str"/>
      <x:c r="C33" s="21" t="str"/>
      <x:c r="D33" s="21" t="str"/>
      <x:c r="E33" s="21" t="str"/>
      <x:c r="F33" s="26" t="str"/>
      <x:c r="G33" s="2"/>
      <x:c r="H33" s="171"/>
      <x:c r="I33" s="172"/>
      <x:c r="J33" s="173"/>
    </x:row>
    <x:row r="34" ht="25" customHeight="1">
      <x:c r="A34" s="25" t="str"/>
      <x:c r="B34" s="21" t="str"/>
      <x:c r="C34" s="21" t="str"/>
      <x:c r="D34" s="21" t="str"/>
      <x:c r="E34" s="21" t="str"/>
      <x:c r="F34" s="26" t="str"/>
      <x:c r="G34" s="2"/>
      <x:c r="H34" s="171"/>
      <x:c r="I34" s="172"/>
      <x:c r="J34" s="173"/>
    </x:row>
    <x:row r="35" ht="25" customHeight="1">
      <x:c r="A35" s="25" t="str"/>
      <x:c r="B35" s="21" t="str"/>
      <x:c r="C35" s="21" t="str"/>
      <x:c r="D35" s="21" t="str"/>
      <x:c r="E35" s="21" t="str"/>
      <x:c r="F35" s="26" t="str"/>
      <x:c r="G35" s="2"/>
      <x:c r="H35" s="171"/>
      <x:c r="I35" s="172"/>
      <x:c r="J35" s="173"/>
    </x:row>
    <x:row r="36" ht="25" customHeight="1">
      <x:c r="A36" s="25" t="str"/>
      <x:c r="B36" s="21" t="str"/>
      <x:c r="C36" s="21" t="str"/>
      <x:c r="D36" s="21" t="str"/>
      <x:c r="E36" s="21" t="str"/>
      <x:c r="F36" s="26" t="str"/>
      <x:c r="G36" s="2"/>
      <x:c r="H36" s="171"/>
      <x:c r="I36" s="172"/>
      <x:c r="J36" s="173"/>
    </x:row>
    <x:row r="37" ht="25" customHeight="1">
      <x:c r="A37" s="27" t="str"/>
      <x:c r="B37" s="28" t="str"/>
      <x:c r="C37" s="28" t="str"/>
      <x:c r="D37" s="28" t="str"/>
      <x:c r="E37" s="28" t="str"/>
      <x:c r="F37" s="29" t="str"/>
      <x:c r="G37" s="2"/>
      <x:c r="H37" s="174"/>
      <x:c r="I37" s="175"/>
      <x:c r="J37" s="176"/>
    </x:row>
    <x:row r="38">
      <x:c r="A38" s="2"/>
      <x:c r="B38" s="2"/>
      <x:c r="C38" s="2"/>
      <x:c r="D38" s="2"/>
      <x:c r="E38" s="2"/>
      <x:c r="F38" s="2"/>
      <x:c r="G38" s="2"/>
      <x:c r="H38" s="2"/>
      <x:c r="I38" s="2"/>
      <x:c r="J38" s="2"/>
    </x:row>
    <x:row r="39">
      <x:c r="A39" s="2"/>
      <x:c r="B39" s="2"/>
      <x:c r="C39" s="2"/>
      <x:c r="D39" s="2"/>
      <x:c r="E39" s="2"/>
      <x:c r="F39" s="2"/>
      <x:c r="G39" s="2"/>
      <x:c r="H39" s="2"/>
      <x:c r="I39" s="2"/>
      <x:c r="J39" s="2"/>
    </x:row>
    <x:row r="40">
      <x:c r="A40" s="2"/>
      <x:c r="B40" s="2"/>
      <x:c r="C40" s="2"/>
      <x:c r="D40" s="2"/>
      <x:c r="E40" s="2"/>
      <x:c r="F40" s="2"/>
      <x:c r="G40" s="2"/>
      <x:c r="H40" s="2"/>
      <x:c r="I40" s="2"/>
      <x:c r="J40" s="2"/>
    </x:row>
    <x:row r="41">
      <x:c r="A41" s="2"/>
      <x:c r="B41" s="2"/>
      <x:c r="C41" s="2"/>
      <x:c r="D41" s="2"/>
      <x:c r="E41" s="2"/>
      <x:c r="F41" s="2"/>
      <x:c r="G41" s="2"/>
      <x:c r="H41" s="2"/>
      <x:c r="I41" s="2"/>
      <x:c r="J41" s="2"/>
    </x:row>
    <x:row r="42">
      <x:c r="A42" s="2"/>
      <x:c r="B42" s="2"/>
      <x:c r="C42" s="2"/>
      <x:c r="D42" s="2"/>
      <x:c r="E42" s="2"/>
      <x:c r="F42" s="2"/>
      <x:c r="G42" s="2"/>
      <x:c r="H42" s="2"/>
      <x:c r="I42" s="2"/>
      <x:c r="J42" s="2"/>
    </x:row>
    <x:row r="43">
      <x:c r="A43" s="2"/>
      <x:c r="B43" s="2"/>
      <x:c r="C43" s="2"/>
      <x:c r="D43" s="2"/>
      <x:c r="E43" s="2"/>
      <x:c r="F43" s="2"/>
      <x:c r="G43" s="2"/>
      <x:c r="H43" s="2"/>
      <x:c r="I43" s="2"/>
      <x:c r="J43" s="2"/>
    </x:row>
    <x:row r="44">
      <x:c r="A44" s="2"/>
      <x:c r="B44" s="2"/>
      <x:c r="C44" s="2"/>
      <x:c r="D44" s="2"/>
      <x:c r="E44" s="2"/>
      <x:c r="F44" s="2"/>
      <x:c r="G44" s="2"/>
      <x:c r="H44" s="2"/>
      <x:c r="I44" s="2"/>
      <x:c r="J44" s="2"/>
    </x:row>
    <x:row r="45">
      <x:c r="A45" s="2"/>
      <x:c r="B45" s="2"/>
      <x:c r="C45" s="2"/>
      <x:c r="D45" s="2"/>
      <x:c r="E45" s="2"/>
      <x:c r="F45" s="2"/>
      <x:c r="G45" s="2"/>
      <x:c r="H45" s="2"/>
      <x:c r="I45" s="2"/>
      <x:c r="J45" s="2"/>
    </x:row>
    <x:row r="46">
      <x:c r="A46" s="2"/>
      <x:c r="B46" s="2"/>
      <x:c r="C46" s="2"/>
      <x:c r="D46" s="2"/>
      <x:c r="E46" s="2"/>
      <x:c r="F46" s="2"/>
      <x:c r="G46" s="2"/>
      <x:c r="H46" s="2"/>
      <x:c r="I46" s="2"/>
      <x:c r="J46" s="2"/>
    </x:row>
    <x:row r="47">
      <x:c r="A47" s="2"/>
      <x:c r="B47" s="2"/>
      <x:c r="C47" s="2"/>
      <x:c r="D47" s="2"/>
      <x:c r="E47" s="2"/>
      <x:c r="F47" s="2"/>
      <x:c r="G47" s="2"/>
      <x:c r="H47" s="2"/>
      <x:c r="I47" s="2"/>
      <x:c r="J47" s="2"/>
    </x:row>
    <x:row r="48">
      <x:c r="A48" s="2"/>
      <x:c r="B48" s="2"/>
      <x:c r="C48" s="2"/>
      <x:c r="D48" s="2"/>
      <x:c r="E48" s="2"/>
      <x:c r="F48" s="2"/>
      <x:c r="G48" s="2"/>
      <x:c r="H48" s="2"/>
      <x:c r="I48" s="2"/>
      <x:c r="J48" s="2"/>
    </x:row>
    <x:row r="49">
      <x:c r="A49" s="2"/>
      <x:c r="B49" s="2"/>
      <x:c r="C49" s="2"/>
      <x:c r="D49" s="2"/>
      <x:c r="E49" s="2"/>
      <x:c r="F49" s="2"/>
      <x:c r="G49" s="2"/>
      <x:c r="H49" s="2"/>
      <x:c r="I49" s="2"/>
      <x:c r="J49" s="2"/>
    </x:row>
    <x:row r="50">
      <x:c r="A50" s="2"/>
      <x:c r="B50" s="2"/>
      <x:c r="C50" s="2"/>
      <x:c r="D50" s="2"/>
      <x:c r="E50" s="2"/>
      <x:c r="F50" s="2"/>
      <x:c r="G50" s="2"/>
      <x:c r="H50" s="2"/>
      <x:c r="I50" s="2"/>
      <x:c r="J50" s="2"/>
    </x:row>
    <x:row r="51">
      <x:c r="A51" s="2"/>
      <x:c r="B51" s="2"/>
      <x:c r="C51" s="2"/>
      <x:c r="D51" s="2"/>
      <x:c r="E51" s="2"/>
      <x:c r="F51" s="2"/>
      <x:c r="G51" s="2"/>
      <x:c r="H51" s="2"/>
      <x:c r="I51" s="2"/>
      <x:c r="J51" s="2"/>
    </x:row>
    <x:row r="52">
      <x:c r="A52" s="2"/>
      <x:c r="B52" s="2"/>
      <x:c r="C52" s="2"/>
      <x:c r="D52" s="2"/>
      <x:c r="E52" s="2"/>
      <x:c r="F52" s="2"/>
      <x:c r="G52" s="2"/>
      <x:c r="H52" s="2"/>
      <x:c r="I52" s="2"/>
      <x:c r="J52" s="2"/>
    </x:row>
    <x:row r="53">
      <x:c r="A53" s="2"/>
      <x:c r="B53" s="2"/>
      <x:c r="C53" s="2"/>
      <x:c r="D53" s="2"/>
      <x:c r="E53" s="2"/>
      <x:c r="F53" s="2"/>
      <x:c r="G53" s="2"/>
      <x:c r="H53" s="2"/>
      <x:c r="I53" s="2"/>
      <x:c r="J53" s="2"/>
    </x:row>
    <x:row r="54">
      <x:c r="A54" s="2"/>
      <x:c r="B54" s="2"/>
      <x:c r="C54" s="2"/>
      <x:c r="D54" s="2"/>
      <x:c r="E54" s="2"/>
      <x:c r="F54" s="2"/>
      <x:c r="G54" s="2"/>
      <x:c r="H54" s="2"/>
      <x:c r="I54" s="2"/>
      <x:c r="J54" s="2"/>
    </x:row>
    <x:row r="55">
      <x:c r="A55" s="2"/>
      <x:c r="B55" s="2"/>
      <x:c r="C55" s="2"/>
      <x:c r="D55" s="2"/>
      <x:c r="E55" s="2"/>
      <x:c r="F55" s="2"/>
      <x:c r="G55" s="2"/>
      <x:c r="H55" s="2"/>
      <x:c r="I55" s="2"/>
      <x:c r="J55" s="2"/>
    </x:row>
    <x:row r="56">
      <x:c r="A56" s="2"/>
      <x:c r="B56" s="2"/>
      <x:c r="C56" s="2"/>
      <x:c r="D56" s="2"/>
      <x:c r="E56" s="2"/>
      <x:c r="F56" s="2"/>
      <x:c r="G56" s="2"/>
      <x:c r="H56" s="2"/>
      <x:c r="I56" s="2"/>
      <x:c r="J56" s="2"/>
    </x:row>
    <x:row r="57">
      <x:c r="A57" s="2"/>
      <x:c r="B57" s="2"/>
      <x:c r="C57" s="2"/>
      <x:c r="D57" s="2"/>
      <x:c r="E57" s="2"/>
      <x:c r="F57" s="2"/>
      <x:c r="G57" s="2"/>
      <x:c r="H57" s="2"/>
      <x:c r="I57" s="2"/>
      <x:c r="J57" s="2"/>
    </x:row>
    <x:row r="58">
      <x:c r="A58" s="2"/>
      <x:c r="B58" s="2"/>
      <x:c r="C58" s="2"/>
      <x:c r="D58" s="2"/>
      <x:c r="E58" s="2"/>
      <x:c r="F58" s="2"/>
      <x:c r="G58" s="2"/>
      <x:c r="H58" s="2"/>
      <x:c r="I58" s="2"/>
      <x:c r="J58" s="2"/>
    </x:row>
    <x:row r="59">
      <x:c r="A59" s="2"/>
      <x:c r="B59" s="2"/>
      <x:c r="C59" s="2"/>
      <x:c r="D59" s="2"/>
      <x:c r="E59" s="2"/>
      <x:c r="F59" s="2"/>
      <x:c r="G59" s="2"/>
      <x:c r="H59" s="2"/>
      <x:c r="I59" s="2"/>
      <x:c r="J59" s="2"/>
    </x:row>
    <x:row r="60">
      <x:c r="A60" s="2"/>
      <x:c r="B60" s="2"/>
      <x:c r="C60" s="2"/>
      <x:c r="D60" s="2"/>
      <x:c r="E60" s="2"/>
      <x:c r="F60" s="2"/>
      <x:c r="G60" s="2"/>
      <x:c r="H60" s="2"/>
      <x:c r="I60" s="2"/>
      <x:c r="J60" s="2"/>
    </x:row>
    <x:row r="61">
      <x:c r="A61" s="2"/>
      <x:c r="B61" s="2"/>
      <x:c r="C61" s="2"/>
      <x:c r="D61" s="2"/>
      <x:c r="E61" s="2"/>
      <x:c r="F61" s="2"/>
      <x:c r="G61" s="2"/>
      <x:c r="H61" s="2"/>
      <x:c r="I61" s="2"/>
      <x:c r="J61" s="2"/>
    </x:row>
    <x:row r="62">
      <x:c r="A62" s="2"/>
      <x:c r="B62" s="2"/>
      <x:c r="C62" s="2"/>
      <x:c r="D62" s="2"/>
      <x:c r="E62" s="2"/>
      <x:c r="F62" s="2"/>
      <x:c r="G62" s="2"/>
      <x:c r="H62" s="2"/>
      <x:c r="I62" s="2"/>
      <x:c r="J62" s="2"/>
    </x:row>
    <x:row r="63">
      <x:c r="A63" s="2"/>
      <x:c r="B63" s="2"/>
      <x:c r="C63" s="2"/>
      <x:c r="D63" s="2"/>
      <x:c r="E63" s="2"/>
      <x:c r="F63" s="2"/>
      <x:c r="G63" s="2"/>
      <x:c r="H63" s="2"/>
      <x:c r="I63" s="2"/>
      <x:c r="J63" s="2"/>
    </x:row>
    <x:row r="64">
      <x:c r="A64" s="2"/>
      <x:c r="B64" s="2"/>
      <x:c r="C64" s="2"/>
      <x:c r="D64" s="2"/>
      <x:c r="E64" s="2"/>
      <x:c r="F64" s="2"/>
      <x:c r="G64" s="2"/>
      <x:c r="H64" s="2"/>
      <x:c r="I64" s="2"/>
      <x:c r="J64" s="2"/>
    </x:row>
    <x:row r="65">
      <x:c r="A65" s="2"/>
      <x:c r="B65" s="2"/>
      <x:c r="C65" s="2"/>
      <x:c r="D65" s="2"/>
      <x:c r="E65" s="2"/>
      <x:c r="F65" s="2"/>
      <x:c r="G65" s="2"/>
      <x:c r="H65" s="2"/>
      <x:c r="I65" s="2"/>
      <x:c r="J65" s="2"/>
    </x:row>
    <x:row r="66">
      <x:c r="A66" s="2"/>
      <x:c r="B66" s="2"/>
      <x:c r="C66" s="2"/>
      <x:c r="D66" s="2"/>
      <x:c r="E66" s="2"/>
      <x:c r="F66" s="2"/>
      <x:c r="G66" s="2"/>
      <x:c r="H66" s="2"/>
      <x:c r="I66" s="2"/>
      <x:c r="J66" s="2"/>
    </x:row>
    <x:row r="67">
      <x:c r="A67" s="2"/>
      <x:c r="B67" s="2"/>
      <x:c r="C67" s="2"/>
      <x:c r="D67" s="2"/>
      <x:c r="E67" s="2"/>
      <x:c r="F67" s="2"/>
      <x:c r="G67" s="2"/>
      <x:c r="H67" s="2"/>
      <x:c r="I67" s="2"/>
      <x:c r="J67" s="2"/>
    </x:row>
    <x:row r="68">
      <x:c r="A68" s="2"/>
      <x:c r="B68" s="2"/>
      <x:c r="C68" s="2"/>
      <x:c r="D68" s="2"/>
      <x:c r="E68" s="2"/>
      <x:c r="F68" s="2"/>
      <x:c r="G68" s="2"/>
      <x:c r="H68" s="2"/>
      <x:c r="I68" s="2"/>
      <x:c r="J68" s="2"/>
    </x:row>
    <x:row r="69">
      <x:c r="A69" s="2"/>
      <x:c r="B69" s="2"/>
      <x:c r="C69" s="2"/>
      <x:c r="D69" s="2"/>
      <x:c r="E69" s="2"/>
      <x:c r="F69" s="2"/>
      <x:c r="G69" s="2"/>
      <x:c r="H69" s="2"/>
      <x:c r="I69" s="2"/>
      <x:c r="J69" s="2"/>
    </x:row>
    <x:row r="70">
      <x:c r="A70" s="2"/>
      <x:c r="B70" s="2"/>
      <x:c r="C70" s="2"/>
      <x:c r="D70" s="2"/>
      <x:c r="E70" s="2"/>
      <x:c r="F70" s="2"/>
      <x:c r="G70" s="2"/>
      <x:c r="H70" s="2"/>
      <x:c r="I70" s="2"/>
      <x:c r="J70" s="2"/>
    </x:row>
    <x:row r="71">
      <x:c r="A71" s="2"/>
      <x:c r="B71" s="2"/>
      <x:c r="C71" s="2"/>
      <x:c r="D71" s="2"/>
      <x:c r="E71" s="2"/>
      <x:c r="F71" s="2"/>
      <x:c r="G71" s="2"/>
      <x:c r="H71" s="2"/>
      <x:c r="I71" s="2"/>
      <x:c r="J71" s="2"/>
    </x:row>
    <x:row r="72">
      <x:c r="A72" s="2"/>
      <x:c r="B72" s="2"/>
      <x:c r="C72" s="2"/>
      <x:c r="D72" s="2"/>
      <x:c r="E72" s="2"/>
      <x:c r="F72" s="2"/>
      <x:c r="G72" s="2"/>
      <x:c r="H72" s="2"/>
      <x:c r="I72" s="2"/>
      <x:c r="J72" s="2"/>
    </x:row>
    <x:row r="73">
      <x:c r="A73" s="2"/>
      <x:c r="B73" s="2"/>
      <x:c r="C73" s="2"/>
      <x:c r="D73" s="2"/>
      <x:c r="E73" s="2"/>
      <x:c r="F73" s="2"/>
      <x:c r="G73" s="2"/>
      <x:c r="H73" s="2"/>
      <x:c r="I73" s="2"/>
      <x:c r="J73" s="2"/>
    </x:row>
    <x:row r="74">
      <x:c r="A74" s="2"/>
      <x:c r="B74" s="2"/>
      <x:c r="C74" s="2"/>
      <x:c r="D74" s="2"/>
      <x:c r="E74" s="2"/>
      <x:c r="F74" s="2"/>
      <x:c r="G74" s="2"/>
      <x:c r="H74" s="2"/>
      <x:c r="I74" s="2"/>
      <x:c r="J74" s="2"/>
    </x:row>
    <x:row r="75">
      <x:c r="A75" s="2"/>
      <x:c r="B75" s="2"/>
      <x:c r="C75" s="2"/>
      <x:c r="D75" s="2"/>
      <x:c r="E75" s="2"/>
      <x:c r="F75" s="2"/>
      <x:c r="G75" s="2"/>
      <x:c r="H75" s="2"/>
      <x:c r="I75" s="2"/>
      <x:c r="J75" s="2"/>
    </x:row>
    <x:row r="76">
      <x:c r="A76" s="2"/>
      <x:c r="B76" s="2"/>
      <x:c r="C76" s="2"/>
      <x:c r="D76" s="2"/>
      <x:c r="E76" s="2"/>
      <x:c r="F76" s="2"/>
      <x:c r="G76" s="2"/>
      <x:c r="H76" s="2"/>
      <x:c r="I76" s="2"/>
      <x:c r="J76" s="2"/>
    </x:row>
    <x:row r="77">
      <x:c r="A77" s="2"/>
      <x:c r="B77" s="2"/>
      <x:c r="C77" s="2"/>
      <x:c r="D77" s="2"/>
      <x:c r="E77" s="2"/>
      <x:c r="F77" s="2"/>
      <x:c r="G77" s="2"/>
      <x:c r="H77" s="2"/>
      <x:c r="I77" s="2"/>
      <x:c r="J77" s="2"/>
    </x:row>
    <x:row r="78">
      <x:c r="A78" s="2"/>
      <x:c r="B78" s="2"/>
      <x:c r="C78" s="2"/>
      <x:c r="D78" s="2"/>
      <x:c r="E78" s="2"/>
      <x:c r="F78" s="2"/>
      <x:c r="G78" s="2"/>
      <x:c r="H78" s="2"/>
      <x:c r="I78" s="2"/>
      <x:c r="J78" s="2"/>
    </x:row>
    <x:row r="79">
      <x:c r="A79" s="2"/>
      <x:c r="B79" s="2"/>
      <x:c r="C79" s="2"/>
      <x:c r="D79" s="2"/>
      <x:c r="E79" s="2"/>
      <x:c r="F79" s="2"/>
      <x:c r="G79" s="2"/>
      <x:c r="H79" s="2"/>
      <x:c r="I79" s="2"/>
      <x:c r="J79" s="2"/>
    </x:row>
    <x:row r="80">
      <x:c r="A80" s="2"/>
      <x:c r="B80" s="2"/>
      <x:c r="C80" s="2"/>
      <x:c r="D80" s="2"/>
      <x:c r="E80" s="2"/>
      <x:c r="F80" s="2"/>
      <x:c r="G80" s="2"/>
      <x:c r="H80" s="2"/>
      <x:c r="I80" s="2"/>
      <x:c r="J80" s="2"/>
    </x:row>
  </x:sheetData>
  <x:mergeCells>
    <x:mergeCell ref="A2:J2"/>
    <x:mergeCell ref="A4:J4"/>
    <x:mergeCell ref="A6:J6"/>
    <x:mergeCell ref="A14:J14"/>
    <x:mergeCell ref="A24:B24"/>
    <x:mergeCell ref="H15:J15"/>
    <x:mergeCell ref="H16:J18"/>
    <x:mergeCell ref="H20:J23"/>
    <x:mergeCell ref="A28:J28"/>
    <x:mergeCell ref="H29:J37"/>
  </x:mergeCells>
  <x:pageMargins left="0.7" right="0.7" top="0.75" bottom="0.75" header="0.3" footer="0.3"/>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2" hidden="0" customWidth="1"/>
    <x:col min="2" max="2" width="17" hidden="0" customWidth="1"/>
    <x:col min="3" max="3" width="17" hidden="0" customWidth="1"/>
    <x:col min="4" max="4" width="17" hidden="0" customWidth="1"/>
    <x:col min="5" max="5" width="17" hidden="0" customWidth="1"/>
    <x:col min="6" max="6" width="4"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8" customHeight="1">
      <x:c r="A1" s="2"/>
      <x:c r="B1" s="2"/>
      <x:c r="C1" s="2"/>
      <x:c r="D1" s="2"/>
      <x:c r="E1" s="2"/>
      <x:c r="F1" s="2"/>
      <x:c r="G1" s="2"/>
      <x:c r="H1" s="2"/>
      <x:c r="I1" s="2"/>
      <x:c r="J1" s="2"/>
      <x:c r="K1" s="2"/>
      <x:c r="L1" s="2"/>
    </x:row>
    <x:row r="2" ht="32" customHeight="1">
      <x:c r="A2" s="4" t="str">
        <x:v>J14 — Impact du scénario SMED</x:v>
      </x:c>
      <x:c r="B2" s="2"/>
      <x:c r="C2" s="2"/>
      <x:c r="D2" s="2"/>
      <x:c r="E2" s="2"/>
      <x:c r="F2" s="2"/>
      <x:c r="G2" s="2"/>
      <x:c r="H2" s="2"/>
      <x:c r="I2" s="2"/>
      <x:c r="J2" s="2"/>
      <x:c r="K2" s="2"/>
      <x:c r="L2" s="2"/>
    </x:row>
    <x:row r="3" ht="5" customHeight="1">
      <x:c r="A3" s="5"/>
      <x:c r="B3" s="5"/>
      <x:c r="C3" s="5"/>
      <x:c r="D3" s="5"/>
      <x:c r="E3" s="5"/>
      <x:c r="F3" s="5"/>
      <x:c r="G3" s="5"/>
      <x:c r="H3" s="5"/>
      <x:c r="I3" s="5"/>
      <x:c r="J3" s="5"/>
      <x:c r="K3" s="5"/>
      <x:c r="L3" s="5"/>
    </x:row>
    <x:row r="4" ht="25" customHeight="1">
      <x:c r="A4" s="8" t="str">
        <x:v>Comparaison actuelle / proposition. Les valeurs futures sont un scénario à confirmer après essais terrain.</x:v>
      </x:c>
      <x:c r="B4" s="2"/>
      <x:c r="C4" s="2"/>
      <x:c r="D4" s="2"/>
      <x:c r="E4" s="2"/>
      <x:c r="F4" s="2"/>
      <x:c r="G4" s="2"/>
      <x:c r="H4" s="2"/>
      <x:c r="I4" s="2"/>
      <x:c r="J4" s="2"/>
      <x:c r="K4" s="2"/>
      <x:c r="L4" s="2"/>
    </x:row>
    <x:row r="5">
      <x:c r="A5" s="2"/>
      <x:c r="B5" s="2"/>
      <x:c r="C5" s="2"/>
      <x:c r="D5" s="2"/>
      <x:c r="E5" s="2"/>
      <x:c r="F5" s="2"/>
      <x:c r="G5" s="2"/>
      <x:c r="H5" s="2"/>
      <x:c r="I5" s="2"/>
      <x:c r="J5" s="2"/>
      <x:c r="K5" s="2"/>
      <x:c r="L5" s="2"/>
    </x:row>
    <x:row r="6">
      <x:c r="A6" s="184" t="str">
        <x:v>Conclusion : le SMED est justifié car le changement de série représente 72,2 % des arrêts ST50. Il libère du temps, mais ne suffit pas à fermer l’écart de capacité : la charge standard reste supérieure au takt.</x:v>
      </x:c>
      <x:c r="B6" s="185"/>
      <x:c r="C6" s="185"/>
      <x:c r="D6" s="185"/>
      <x:c r="E6" s="185"/>
      <x:c r="F6" s="185"/>
      <x:c r="G6" s="185"/>
      <x:c r="H6" s="185"/>
      <x:c r="I6" s="185"/>
      <x:c r="J6" s="185"/>
      <x:c r="K6" s="185"/>
      <x:c r="L6" s="186"/>
    </x:row>
    <x:row r="7">
      <x:c r="A7" s="187"/>
      <x:c r="B7" s="188"/>
      <x:c r="C7" s="188"/>
      <x:c r="D7" s="188"/>
      <x:c r="E7" s="188"/>
      <x:c r="F7" s="188"/>
      <x:c r="G7" s="188"/>
      <x:c r="H7" s="188"/>
      <x:c r="I7" s="188"/>
      <x:c r="J7" s="188"/>
      <x:c r="K7" s="188"/>
      <x:c r="L7" s="189"/>
    </x:row>
    <x:row r="8">
      <x:c r="A8" s="2"/>
      <x:c r="B8" s="2"/>
      <x:c r="C8" s="2"/>
      <x:c r="D8" s="2"/>
      <x:c r="E8" s="2"/>
      <x:c r="F8" s="2"/>
      <x:c r="G8" s="2"/>
      <x:c r="H8" s="2"/>
      <x:c r="I8" s="2"/>
      <x:c r="J8" s="2"/>
      <x:c r="K8" s="2"/>
      <x:c r="L8" s="2"/>
    </x:row>
    <x:row r="9" ht="24" customHeight="1">
      <x:c r="A9" s="9" t="str">
        <x:v>Comparaison des scénarios</x:v>
      </x:c>
      <x:c r="B9" s="9"/>
      <x:c r="C9" s="9"/>
      <x:c r="D9" s="9"/>
      <x:c r="E9" s="9"/>
      <x:c r="F9" s="2"/>
      <x:c r="G9" s="9" t="str">
        <x:v>Gains dérivés des actions</x:v>
      </x:c>
      <x:c r="H9" s="9"/>
      <x:c r="I9" s="9"/>
      <x:c r="J9" s="9"/>
      <x:c r="K9" s="9"/>
      <x:c r="L9" s="9"/>
    </x:row>
    <x:row r="10">
      <x:c r="A10" s="18" t="str">
        <x:v>Indicateur</x:v>
      </x:c>
      <x:c r="B10" s="19" t="str">
        <x:v>Actuel</x:v>
      </x:c>
      <x:c r="C10" s="19" t="str">
        <x:v>Proposé SMED</x:v>
      </x:c>
      <x:c r="D10" s="19" t="str">
        <x:v>Écart</x:v>
      </x:c>
      <x:c r="E10" s="20" t="str">
        <x:v>Unité</x:v>
      </x:c>
      <x:c r="F10" s="2"/>
      <x:c r="G10" s="18" t="str">
        <x:v>Indicateur</x:v>
      </x:c>
      <x:c r="H10" s="19" t="str">
        <x:v>Valeur</x:v>
      </x:c>
      <x:c r="I10" s="19" t="str">
        <x:v>Unité</x:v>
      </x:c>
      <x:c r="J10" s="20" t="str">
        <x:v>Lecture</x:v>
      </x:c>
      <x:c r="K10" s="2"/>
      <x:c r="L10" s="2"/>
    </x:row>
    <x:row r="11">
      <x:c r="A11" s="22" t="str">
        <x:v>Durée interne par changement</x:v>
      </x:c>
      <x:c r="B11" s="30" t="n">
        <x:f>'Étude SMED'!D20/60</x:f>
        <x:v>25</x:v>
      </x:c>
      <x:c r="C11" s="191" t="n">
        <x:f>'Étude SMED'!H20/60</x:f>
        <x:v>12.5</x:v>
      </x:c>
      <x:c r="D11" s="195" t="n">
        <x:f>C11-B11</x:f>
        <x:v>-12.5</x:v>
      </x:c>
      <x:c r="E11" s="24" t="str">
        <x:v>min/changement</x:v>
      </x:c>
      <x:c r="F11" s="2"/>
      <x:c r="G11" s="22" t="str">
        <x:v>Temps déplacé en externe</x:v>
      </x:c>
      <x:c r="H11" s="41" t="n">
        <x:f>'Étude SMED'!F20</x:f>
        <x:v>420</x:v>
      </x:c>
      <x:c r="I11" s="23" t="str">
        <x:v>s</x:v>
      </x:c>
      <x:c r="J11" s="38" t="str">
        <x:v>Préparation hors arrêt</x:v>
      </x:c>
      <x:c r="K11" s="2"/>
      <x:c r="L11" s="2"/>
    </x:row>
    <x:row r="12">
      <x:c r="A12" s="25" t="str">
        <x:v>Temps de changement — période</x:v>
      </x:c>
      <x:c r="B12" s="31" t="n">
        <x:f>Sources!B13/3600</x:f>
        <x:v>18.75</x:v>
      </x:c>
      <x:c r="C12" s="192" t="n">
        <x:f>Sources!B8*'Étude SMED'!H20/3600</x:f>
        <x:v>9.375</x:v>
      </x:c>
      <x:c r="D12" s="196" t="n">
        <x:f>C12-B12</x:f>
        <x:v>-9.375</x:v>
      </x:c>
      <x:c r="E12" s="26" t="str">
        <x:v>h/20 jours</x:v>
      </x:c>
      <x:c r="F12" s="2"/>
      <x:c r="G12" s="25" t="str">
        <x:v>Temps supprimé / simplifié</x:v>
      </x:c>
      <x:c r="H12" s="43" t="n">
        <x:f>'Étude SMED'!G20</x:f>
        <x:v>330</x:v>
      </x:c>
      <x:c r="I12" s="21" t="str">
        <x:v>s</x:v>
      </x:c>
      <x:c r="J12" s="39" t="str">
        <x:v>Conception / standardisation</x:v>
      </x:c>
      <x:c r="K12" s="2"/>
      <x:c r="L12" s="2"/>
    </x:row>
    <x:row r="13">
      <x:c r="A13" s="25" t="str">
        <x:v>Charge changement par unité</x:v>
      </x:c>
      <x:c r="B13" s="31" t="n">
        <x:f>Sources!G12</x:f>
        <x:v>21.38783269961977</x:v>
      </x:c>
      <x:c r="C13" s="192" t="n">
        <x:f>B13*'Étude SMED'!H20/'Étude SMED'!D20</x:f>
        <x:v>10.693916349809886</x:v>
      </x:c>
      <x:c r="D13" s="196" t="n">
        <x:f>C13-B13</x:f>
        <x:v>-10.693916349809886</x:v>
      </x:c>
      <x:c r="E13" s="26" t="str">
        <x:v>s/u</x:v>
      </x:c>
      <x:c r="F13" s="2"/>
      <x:c r="G13" s="25" t="str">
        <x:v>Temps d’arrêt évité / changement</x:v>
      </x:c>
      <x:c r="H13" s="43" t="n">
        <x:f>'Étude SMED'!J20</x:f>
        <x:v>750</x:v>
      </x:c>
      <x:c r="I13" s="21" t="str">
        <x:v>s</x:v>
      </x:c>
      <x:c r="J13" s="39" t="str">
        <x:v>Gain direct sur indisponibilité</x:v>
      </x:c>
      <x:c r="K13" s="2"/>
      <x:c r="L13" s="2"/>
    </x:row>
    <x:row r="14">
      <x:c r="A14" s="25" t="str">
        <x:v>Charge effective ST50</x:v>
      </x:c>
      <x:c r="B14" s="31" t="n">
        <x:f>Sources!G11</x:f>
        <x:v>329.4122306717364</x:v>
      </x:c>
      <x:c r="C14" s="192" t="n">
        <x:f>B14-B13+C13</x:f>
        <x:v>318.7183143219265</x:v>
      </x:c>
      <x:c r="D14" s="196" t="n">
        <x:f>C14-B14</x:f>
        <x:v>-10.693916349809854</x:v>
      </x:c>
      <x:c r="E14" s="26" t="str">
        <x:v>s/u</x:v>
      </x:c>
      <x:c r="F14" s="2"/>
      <x:c r="G14" s="25" t="str">
        <x:v>Réduction relative</x:v>
      </x:c>
      <x:c r="H14" s="34" t="n">
        <x:f>H13/'Étude SMED'!D20</x:f>
        <x:v>0.5</x:v>
      </x:c>
      <x:c r="I14" s="21" t="str">
        <x:v>%</x:v>
      </x:c>
      <x:c r="J14" s="39" t="str">
        <x:v>Cible issue des actions</x:v>
      </x:c>
      <x:c r="K14" s="2"/>
      <x:c r="L14" s="2"/>
    </x:row>
    <x:row r="15">
      <x:c r="A15" s="25" t="str">
        <x:v>Capacité de référence</x:v>
      </x:c>
      <x:c r="B15" s="31" t="n">
        <x:f>Sources!G13</x:f>
        <x:v>160.285487555609</x:v>
      </x:c>
      <x:c r="C15" s="192" t="n">
        <x:f>Sources!G8/C14</x:f>
        <x:v>165.6635267801665</x:v>
      </x:c>
      <x:c r="D15" s="196" t="n">
        <x:f>C15-B15</x:f>
        <x:v>5.3780392245575115</x:v>
      </x:c>
      <x:c r="E15" s="26" t="str">
        <x:v>u/jour</x:v>
      </x:c>
      <x:c r="F15" s="2"/>
      <x:c r="G15" s="25" t="str">
        <x:v>Temps libéré sur la période</x:v>
      </x:c>
      <x:c r="H15" s="31" t="n">
        <x:f>B12-C12</x:f>
        <x:v>9.375</x:v>
      </x:c>
      <x:c r="I15" s="21" t="str">
        <x:v>h/20 jours</x:v>
      </x:c>
      <x:c r="J15" s="39" t="str">
        <x:v>Potentiel récupérable</x:v>
      </x:c>
      <x:c r="K15" s="2"/>
      <x:c r="L15" s="2"/>
    </x:row>
    <x:row r="16">
      <x:c r="A16" s="25" t="str">
        <x:v>Écart à la demande</x:v>
      </x:c>
      <x:c r="B16" s="31" t="n">
        <x:f>B15-Sources!G9</x:f>
        <x:v>-49.714512444391005</x:v>
      </x:c>
      <x:c r="C16" s="192" t="n">
        <x:f>C15-Sources!G9</x:f>
        <x:v>-44.33647321983349</x:v>
      </x:c>
      <x:c r="D16" s="196" t="n">
        <x:f>C16-B16</x:f>
        <x:v>5.3780392245575115</x:v>
      </x:c>
      <x:c r="E16" s="26" t="str">
        <x:v>u/jour</x:v>
      </x:c>
      <x:c r="F16" s="2"/>
      <x:c r="G16" s="27" t="str">
        <x:v>Gain de capacité de référence</x:v>
      </x:c>
      <x:c r="H16" s="32" t="n">
        <x:f>C15-B15</x:f>
        <x:v>5.3780392245575115</x:v>
      </x:c>
      <x:c r="I16" s="28" t="str">
        <x:v>u/jour</x:v>
      </x:c>
      <x:c r="J16" s="40" t="str">
        <x:v>Si le temps libéré devient productif</x:v>
      </x:c>
      <x:c r="K16" s="2"/>
      <x:c r="L16" s="2"/>
    </x:row>
    <x:row r="17">
      <x:c r="A17" s="25" t="str">
        <x:v>Atteinte de la demande</x:v>
      </x:c>
      <x:c r="B17" s="34" t="n">
        <x:f>B15/Sources!G9</x:f>
        <x:v>0.7632642264552809</x:v>
      </x:c>
      <x:c r="C17" s="193" t="n">
        <x:f>C15/Sources!G9</x:f>
        <x:v>0.7888739370484119</x:v>
      </x:c>
      <x:c r="D17" s="197" t="n">
        <x:f>C17-B17</x:f>
        <x:v>0.025609710593130997</x:v>
      </x:c>
      <x:c r="E17" s="26" t="str">
        <x:v>%</x:v>
      </x:c>
      <x:c r="F17" s="2"/>
      <x:c r="G17" s="2"/>
      <x:c r="H17" s="2"/>
      <x:c r="I17" s="2"/>
      <x:c r="J17" s="2"/>
      <x:c r="K17" s="2"/>
      <x:c r="L17" s="2"/>
    </x:row>
    <x:row r="18">
      <x:c r="A18" s="27" t="str">
        <x:v>Disponibilité ST50</x:v>
      </x:c>
      <x:c r="B18" s="190" t="n">
        <x:f>Sources!G14</x:f>
        <x:v>0.9114251893939394</x:v>
      </x:c>
      <x:c r="C18" s="194" t="n">
        <x:f>B18+(B12-C12)*3600/Sources!G15</x:f>
        <x:v>0.9433854166666666</x:v>
      </x:c>
      <x:c r="D18" s="198" t="n">
        <x:f>C18-B18</x:f>
        <x:v>0.03196022727272729</x:v>
      </x:c>
      <x:c r="E18" s="29" t="str">
        <x:v>%</x:v>
      </x:c>
      <x:c r="F18" s="2"/>
      <x:c r="G18" s="2"/>
      <x:c r="H18" s="2"/>
      <x:c r="I18" s="2"/>
      <x:c r="J18" s="2"/>
      <x:c r="K18" s="2"/>
      <x:c r="L18" s="2"/>
    </x:row>
    <x:row r="19">
      <x:c r="A19" s="2"/>
      <x:c r="B19" s="2"/>
      <x:c r="C19" s="2"/>
      <x:c r="D19" s="2"/>
      <x:c r="E19" s="2"/>
      <x:c r="F19" s="2"/>
      <x:c r="G19" s="18" t="str">
        <x:v>Scénario</x:v>
      </x:c>
      <x:c r="H19" s="19" t="str">
        <x:v>Capacité u/j</x:v>
      </x:c>
      <x:c r="I19" s="20" t="str">
        <x:v>Demande u/j</x:v>
      </x:c>
      <x:c r="J19" s="2"/>
      <x:c r="K19" s="2"/>
      <x:c r="L19" s="2"/>
    </x:row>
    <x:row r="20">
      <x:c r="A20" s="2"/>
      <x:c r="B20" s="2"/>
      <x:c r="C20" s="2"/>
      <x:c r="D20" s="2"/>
      <x:c r="E20" s="2"/>
      <x:c r="F20" s="2"/>
      <x:c r="G20" s="22" t="str">
        <x:v>Actuel</x:v>
      </x:c>
      <x:c r="H20" s="199" t="n">
        <x:f>B15</x:f>
        <x:v>160.285487555609</x:v>
      </x:c>
      <x:c r="I20" s="200" t="n">
        <x:f>Sources!G9</x:f>
        <x:v>210</x:v>
      </x:c>
      <x:c r="J20" s="2"/>
      <x:c r="K20" s="2"/>
      <x:c r="L20" s="2"/>
    </x:row>
    <x:row r="21">
      <x:c r="A21" s="18" t="str">
        <x:v>Scénario</x:v>
      </x:c>
      <x:c r="B21" s="20" t="str">
        <x:v>Durée min</x:v>
      </x:c>
      <x:c r="C21" s="2"/>
      <x:c r="D21" s="2"/>
      <x:c r="E21" s="2"/>
      <x:c r="F21" s="2"/>
      <x:c r="G21" s="27" t="str">
        <x:v>SMED proposé</x:v>
      </x:c>
      <x:c r="H21" s="201" t="n">
        <x:f>C15</x:f>
        <x:v>165.6635267801665</x:v>
      </x:c>
      <x:c r="I21" s="202" t="n">
        <x:f>Sources!G9</x:f>
        <x:v>210</x:v>
      </x:c>
      <x:c r="J21" s="2"/>
      <x:c r="K21" s="2"/>
      <x:c r="L21" s="2"/>
    </x:row>
    <x:row r="22">
      <x:c r="A22" s="22" t="str">
        <x:v>Actuel</x:v>
      </x:c>
      <x:c r="B22" s="200" t="n">
        <x:f>B11</x:f>
        <x:v>25</x:v>
      </x:c>
      <x:c r="C22" s="2"/>
      <x:c r="D22" s="2"/>
      <x:c r="E22" s="2"/>
      <x:c r="F22" s="2"/>
      <x:c r="G22" s="2" t="str"/>
      <x:c r="H22" s="2" t="str"/>
      <x:c r="I22" s="2" t="str"/>
      <x:c r="J22" s="2"/>
      <x:c r="K22" s="2"/>
      <x:c r="L22" s="2"/>
    </x:row>
    <x:row r="23">
      <x:c r="A23" s="27" t="str">
        <x:v>SMED proposé</x:v>
      </x:c>
      <x:c r="B23" s="202" t="n">
        <x:f>C11</x:f>
        <x:v>12.5</x:v>
      </x:c>
      <x:c r="C23" s="2"/>
      <x:c r="D23" s="2"/>
      <x:c r="E23" s="2"/>
      <x:c r="F23" s="2"/>
      <x:c r="G23" s="2"/>
      <x:c r="H23" s="2"/>
      <x:c r="I23" s="2"/>
      <x:c r="J23" s="2"/>
      <x:c r="K23" s="2"/>
      <x:c r="L23" s="2"/>
    </x:row>
    <x:row r="24">
      <x:c r="A24" s="2"/>
      <x:c r="B24" s="2"/>
      <x:c r="C24" s="2"/>
      <x:c r="D24" s="2"/>
      <x:c r="E24" s="2"/>
      <x:c r="F24" s="2"/>
      <x:c r="G24" s="2"/>
      <x:c r="H24" s="2"/>
      <x:c r="I24" s="2"/>
      <x:c r="J24" s="2"/>
      <x:c r="K24" s="2"/>
      <x:c r="L24" s="2"/>
    </x:row>
    <x:row r="25">
      <x:c r="A25" s="2"/>
      <x:c r="B25" s="2"/>
      <x:c r="C25" s="2"/>
      <x:c r="D25" s="2"/>
      <x:c r="E25" s="2"/>
      <x:c r="F25" s="2"/>
      <x:c r="G25" s="2"/>
      <x:c r="H25" s="2"/>
      <x:c r="I25" s="2"/>
      <x:c r="J25" s="2"/>
      <x:c r="K25" s="2"/>
      <x:c r="L25" s="2"/>
    </x:row>
    <x:row r="26">
      <x:c r="A26" s="2"/>
      <x:c r="B26" s="2"/>
      <x:c r="C26" s="2"/>
      <x:c r="D26" s="2"/>
      <x:c r="E26" s="2"/>
      <x:c r="F26" s="2"/>
      <x:c r="G26" s="2"/>
      <x:c r="H26" s="2"/>
      <x:c r="I26" s="2"/>
      <x:c r="J26" s="2"/>
      <x:c r="K26" s="2"/>
      <x:c r="L26" s="2"/>
    </x:row>
    <x:row r="27">
      <x:c r="A27" s="2"/>
      <x:c r="B27" s="2"/>
      <x:c r="C27" s="2"/>
      <x:c r="D27" s="2"/>
      <x:c r="E27" s="2"/>
      <x:c r="F27" s="2"/>
      <x:c r="G27" s="2"/>
      <x:c r="H27" s="2"/>
      <x:c r="I27" s="2"/>
      <x:c r="J27" s="2"/>
      <x:c r="K27" s="2"/>
      <x:c r="L27" s="2"/>
    </x:row>
    <x:row r="28">
      <x:c r="A28" s="2"/>
      <x:c r="B28" s="2"/>
      <x:c r="C28" s="2"/>
      <x:c r="D28" s="2"/>
      <x:c r="E28" s="2"/>
      <x:c r="F28" s="2"/>
      <x:c r="G28" s="2"/>
      <x:c r="H28" s="2"/>
      <x:c r="I28" s="2"/>
      <x:c r="J28" s="2"/>
      <x:c r="K28" s="2"/>
      <x:c r="L28" s="2"/>
    </x:row>
    <x:row r="29">
      <x:c r="A29" s="2"/>
      <x:c r="B29" s="2"/>
      <x:c r="C29" s="2"/>
      <x:c r="D29" s="2"/>
      <x:c r="E29" s="2"/>
      <x:c r="F29" s="2"/>
      <x:c r="G29" s="2"/>
      <x:c r="H29" s="2"/>
      <x:c r="I29" s="2"/>
      <x:c r="J29" s="2"/>
      <x:c r="K29" s="2"/>
      <x:c r="L29" s="2"/>
    </x:row>
    <x:row r="30">
      <x:c r="A30" s="2"/>
      <x:c r="B30" s="2"/>
      <x:c r="C30" s="2"/>
      <x:c r="D30" s="2"/>
      <x:c r="E30" s="2"/>
      <x:c r="F30" s="2"/>
      <x:c r="G30" s="2"/>
      <x:c r="H30" s="2"/>
      <x:c r="I30" s="2"/>
      <x:c r="J30" s="2"/>
      <x:c r="K30" s="2"/>
      <x:c r="L30" s="2"/>
    </x:row>
    <x:row r="31">
      <x:c r="A31" s="2"/>
      <x:c r="B31" s="2"/>
      <x:c r="C31" s="2"/>
      <x:c r="D31" s="2"/>
      <x:c r="E31" s="2"/>
      <x:c r="F31" s="2"/>
      <x:c r="G31" s="2"/>
      <x:c r="H31" s="2"/>
      <x:c r="I31" s="2"/>
      <x:c r="J31" s="2"/>
      <x:c r="K31" s="2"/>
      <x:c r="L31" s="2"/>
    </x:row>
    <x:row r="32">
      <x:c r="A32" s="2"/>
      <x:c r="B32" s="2"/>
      <x:c r="C32" s="2"/>
      <x:c r="D32" s="2"/>
      <x:c r="E32" s="2"/>
      <x:c r="F32" s="2"/>
      <x:c r="G32" s="2"/>
      <x:c r="H32" s="2"/>
      <x:c r="I32" s="2"/>
      <x:c r="J32" s="2"/>
      <x:c r="K32" s="2"/>
      <x:c r="L32" s="2"/>
    </x:row>
    <x:row r="33">
      <x:c r="A33" s="2"/>
      <x:c r="B33" s="2"/>
      <x:c r="C33" s="2"/>
      <x:c r="D33" s="2"/>
      <x:c r="E33" s="2"/>
      <x:c r="F33" s="2"/>
      <x:c r="G33" s="2"/>
      <x:c r="H33" s="2"/>
      <x:c r="I33" s="2"/>
      <x:c r="J33" s="2"/>
      <x:c r="K33" s="2"/>
      <x:c r="L33" s="2"/>
    </x:row>
    <x:row r="34">
      <x:c r="A34" s="2"/>
      <x:c r="B34" s="2"/>
      <x:c r="C34" s="2"/>
      <x:c r="D34" s="2"/>
      <x:c r="E34" s="2"/>
      <x:c r="F34" s="2"/>
      <x:c r="G34" s="2"/>
      <x:c r="H34" s="2"/>
      <x:c r="I34" s="2"/>
      <x:c r="J34" s="2"/>
      <x:c r="K34" s="2"/>
      <x:c r="L34" s="2"/>
    </x:row>
    <x:row r="35">
      <x:c r="A35" s="2"/>
      <x:c r="B35" s="2"/>
      <x:c r="C35" s="2"/>
      <x:c r="D35" s="2"/>
      <x:c r="E35" s="2"/>
      <x:c r="F35" s="2"/>
      <x:c r="G35" s="2"/>
      <x:c r="H35" s="2"/>
      <x:c r="I35" s="2"/>
      <x:c r="J35" s="2"/>
      <x:c r="K35" s="2"/>
      <x:c r="L35" s="2"/>
    </x:row>
    <x:row r="36">
      <x:c r="A36" s="2"/>
      <x:c r="B36" s="2"/>
      <x:c r="C36" s="2"/>
      <x:c r="D36" s="2"/>
      <x:c r="E36" s="2"/>
      <x:c r="F36" s="2"/>
      <x:c r="G36" s="2"/>
      <x:c r="H36" s="2"/>
      <x:c r="I36" s="2"/>
      <x:c r="J36" s="2"/>
      <x:c r="K36" s="2"/>
      <x:c r="L36" s="2"/>
    </x:row>
    <x:row r="37">
      <x:c r="A37" s="2"/>
      <x:c r="B37" s="2"/>
      <x:c r="C37" s="2"/>
      <x:c r="D37" s="2"/>
      <x:c r="E37" s="2"/>
      <x:c r="F37" s="2"/>
      <x:c r="G37" s="2"/>
      <x:c r="H37" s="2"/>
      <x:c r="I37" s="2"/>
      <x:c r="J37" s="2"/>
      <x:c r="K37" s="2"/>
      <x:c r="L37" s="2"/>
    </x:row>
    <x:row r="38">
      <x:c r="A38" s="2"/>
      <x:c r="B38" s="2"/>
      <x:c r="C38" s="2"/>
      <x:c r="D38" s="2"/>
      <x:c r="E38" s="2"/>
      <x:c r="F38" s="2"/>
      <x:c r="G38" s="2"/>
      <x:c r="H38" s="2"/>
      <x:c r="I38" s="2"/>
      <x:c r="J38" s="2"/>
      <x:c r="K38" s="2"/>
      <x:c r="L38" s="2"/>
    </x:row>
    <x:row r="39">
      <x:c r="A39" s="2"/>
      <x:c r="B39" s="2"/>
      <x:c r="C39" s="2"/>
      <x:c r="D39" s="2"/>
      <x:c r="E39" s="2"/>
      <x:c r="F39" s="2"/>
      <x:c r="G39" s="2"/>
      <x:c r="H39" s="2"/>
      <x:c r="I39" s="2"/>
      <x:c r="J39" s="2"/>
      <x:c r="K39" s="2"/>
      <x:c r="L39" s="2"/>
    </x:row>
    <x:row r="40">
      <x:c r="A40" s="2"/>
      <x:c r="B40" s="2"/>
      <x:c r="C40" s="2"/>
      <x:c r="D40" s="2"/>
      <x:c r="E40" s="2"/>
      <x:c r="F40" s="2"/>
      <x:c r="G40" s="2"/>
      <x:c r="H40" s="2"/>
      <x:c r="I40" s="2"/>
      <x:c r="J40" s="2"/>
      <x:c r="K40" s="2"/>
      <x:c r="L40" s="2"/>
    </x:row>
    <x:row r="41">
      <x:c r="A41" s="2"/>
      <x:c r="B41" s="2"/>
      <x:c r="C41" s="2"/>
      <x:c r="D41" s="2"/>
      <x:c r="E41" s="2"/>
      <x:c r="F41" s="2"/>
      <x:c r="G41" s="2"/>
      <x:c r="H41" s="2"/>
      <x:c r="I41" s="2"/>
      <x:c r="J41" s="2"/>
      <x:c r="K41" s="2"/>
      <x:c r="L41" s="2"/>
    </x:row>
    <x:row r="42">
      <x:c r="A42" s="2"/>
      <x:c r="B42" s="2"/>
      <x:c r="C42" s="2"/>
      <x:c r="D42" s="2"/>
      <x:c r="E42" s="2"/>
      <x:c r="F42" s="2"/>
      <x:c r="G42" s="2"/>
      <x:c r="H42" s="2"/>
      <x:c r="I42" s="2"/>
      <x:c r="J42" s="2"/>
      <x:c r="K42" s="2"/>
      <x:c r="L42" s="2"/>
    </x:row>
    <x:row r="43">
      <x:c r="A43" s="2"/>
      <x:c r="B43" s="2"/>
      <x:c r="C43" s="2"/>
      <x:c r="D43" s="2"/>
      <x:c r="E43" s="2"/>
      <x:c r="F43" s="2"/>
      <x:c r="G43" s="2"/>
      <x:c r="H43" s="2"/>
      <x:c r="I43" s="2"/>
      <x:c r="J43" s="2"/>
      <x:c r="K43" s="2"/>
      <x:c r="L43" s="2"/>
    </x:row>
    <x:row r="44">
      <x:c r="A44" s="2"/>
      <x:c r="B44" s="2"/>
      <x:c r="C44" s="2"/>
      <x:c r="D44" s="2"/>
      <x:c r="E44" s="2"/>
      <x:c r="F44" s="2"/>
      <x:c r="G44" s="2"/>
      <x:c r="H44" s="2"/>
      <x:c r="I44" s="2"/>
      <x:c r="J44" s="2"/>
      <x:c r="K44" s="2"/>
      <x:c r="L44" s="2"/>
    </x:row>
    <x:row r="45">
      <x:c r="A45" s="2"/>
      <x:c r="B45" s="2"/>
      <x:c r="C45" s="2"/>
      <x:c r="D45" s="2"/>
      <x:c r="E45" s="2"/>
      <x:c r="F45" s="2"/>
      <x:c r="G45" s="2"/>
      <x:c r="H45" s="2"/>
      <x:c r="I45" s="2"/>
      <x:c r="J45" s="2"/>
      <x:c r="K45" s="2"/>
      <x:c r="L45" s="2"/>
    </x:row>
    <x:row r="46">
      <x:c r="A46" s="2"/>
      <x:c r="B46" s="2"/>
      <x:c r="C46" s="2"/>
      <x:c r="D46" s="2"/>
      <x:c r="E46" s="2"/>
      <x:c r="F46" s="2"/>
      <x:c r="G46" s="2"/>
      <x:c r="H46" s="2"/>
      <x:c r="I46" s="2"/>
      <x:c r="J46" s="2"/>
      <x:c r="K46" s="2"/>
      <x:c r="L46" s="2"/>
    </x:row>
    <x:row r="47">
      <x:c r="A47" s="2"/>
      <x:c r="B47" s="2"/>
      <x:c r="C47" s="2"/>
      <x:c r="D47" s="2"/>
      <x:c r="E47" s="2"/>
      <x:c r="F47" s="2"/>
      <x:c r="G47" s="2"/>
      <x:c r="H47" s="2"/>
      <x:c r="I47" s="2"/>
      <x:c r="J47" s="2"/>
      <x:c r="K47" s="2"/>
      <x:c r="L47" s="2"/>
    </x:row>
    <x:row r="48">
      <x:c r="A48" s="2"/>
      <x:c r="B48" s="2"/>
      <x:c r="C48" s="2"/>
      <x:c r="D48" s="2"/>
      <x:c r="E48" s="2"/>
      <x:c r="F48" s="2"/>
      <x:c r="G48" s="2"/>
      <x:c r="H48" s="2"/>
      <x:c r="I48" s="2"/>
      <x:c r="J48" s="2"/>
      <x:c r="K48" s="2"/>
      <x:c r="L48" s="2"/>
    </x:row>
    <x:row r="49">
      <x:c r="A49" s="2"/>
      <x:c r="B49" s="2"/>
      <x:c r="C49" s="2"/>
      <x:c r="D49" s="2"/>
      <x:c r="E49" s="2"/>
      <x:c r="F49" s="2"/>
      <x:c r="G49" s="2"/>
      <x:c r="H49" s="2"/>
      <x:c r="I49" s="2"/>
      <x:c r="J49" s="2"/>
      <x:c r="K49" s="2"/>
      <x:c r="L49" s="2"/>
    </x:row>
    <x:row r="50">
      <x:c r="A50" s="2"/>
      <x:c r="B50" s="2"/>
      <x:c r="C50" s="2"/>
      <x:c r="D50" s="2"/>
      <x:c r="E50" s="2"/>
      <x:c r="F50" s="2"/>
      <x:c r="G50" s="2"/>
      <x:c r="H50" s="2"/>
      <x:c r="I50" s="2"/>
      <x:c r="J50" s="2"/>
      <x:c r="K50" s="2"/>
      <x:c r="L50" s="2"/>
    </x:row>
    <x:row r="51">
      <x:c r="A51" s="2"/>
      <x:c r="B51" s="2"/>
      <x:c r="C51" s="2"/>
      <x:c r="D51" s="2"/>
      <x:c r="E51" s="2"/>
      <x:c r="F51" s="2"/>
      <x:c r="G51" s="2"/>
      <x:c r="H51" s="2"/>
      <x:c r="I51" s="2"/>
      <x:c r="J51" s="2"/>
      <x:c r="K51" s="2"/>
      <x:c r="L51" s="2"/>
    </x:row>
    <x:row r="52">
      <x:c r="A52" s="2"/>
      <x:c r="B52" s="2"/>
      <x:c r="C52" s="2"/>
      <x:c r="D52" s="2"/>
      <x:c r="E52" s="2"/>
      <x:c r="F52" s="2"/>
      <x:c r="G52" s="2"/>
      <x:c r="H52" s="2"/>
      <x:c r="I52" s="2"/>
      <x:c r="J52" s="2"/>
      <x:c r="K52" s="2"/>
      <x:c r="L52" s="2"/>
    </x:row>
    <x:row r="53">
      <x:c r="A53" s="2"/>
      <x:c r="B53" s="2"/>
      <x:c r="C53" s="2"/>
      <x:c r="D53" s="2"/>
      <x:c r="E53" s="2"/>
      <x:c r="F53" s="2"/>
      <x:c r="G53" s="2"/>
      <x:c r="H53" s="2"/>
      <x:c r="I53" s="2"/>
      <x:c r="J53" s="2"/>
      <x:c r="K53" s="2"/>
      <x:c r="L53" s="2"/>
    </x:row>
    <x:row r="54">
      <x:c r="A54" s="2"/>
      <x:c r="B54" s="2"/>
      <x:c r="C54" s="2"/>
      <x:c r="D54" s="2"/>
      <x:c r="E54" s="2"/>
      <x:c r="F54" s="2"/>
      <x:c r="G54" s="2"/>
      <x:c r="H54" s="2"/>
      <x:c r="I54" s="2"/>
      <x:c r="J54" s="2"/>
      <x:c r="K54" s="2"/>
      <x:c r="L54" s="2"/>
    </x:row>
    <x:row r="55">
      <x:c r="A55" s="2"/>
      <x:c r="B55" s="2"/>
      <x:c r="C55" s="2"/>
      <x:c r="D55" s="2"/>
      <x:c r="E55" s="2"/>
      <x:c r="F55" s="2"/>
      <x:c r="G55" s="2"/>
      <x:c r="H55" s="2"/>
      <x:c r="I55" s="2"/>
      <x:c r="J55" s="2"/>
      <x:c r="K55" s="2"/>
      <x:c r="L55" s="2"/>
    </x:row>
    <x:row r="56">
      <x:c r="A56" s="2"/>
      <x:c r="B56" s="2"/>
      <x:c r="C56" s="2"/>
      <x:c r="D56" s="2"/>
      <x:c r="E56" s="2"/>
      <x:c r="F56" s="2"/>
      <x:c r="G56" s="2"/>
      <x:c r="H56" s="2"/>
      <x:c r="I56" s="2"/>
      <x:c r="J56" s="2"/>
      <x:c r="K56" s="2"/>
      <x:c r="L56" s="2"/>
    </x:row>
    <x:row r="57">
      <x:c r="A57" s="2"/>
      <x:c r="B57" s="2"/>
      <x:c r="C57" s="2"/>
      <x:c r="D57" s="2"/>
      <x:c r="E57" s="2"/>
      <x:c r="F57" s="2"/>
      <x:c r="G57" s="2"/>
      <x:c r="H57" s="2"/>
      <x:c r="I57" s="2"/>
      <x:c r="J57" s="2"/>
      <x:c r="K57" s="2"/>
      <x:c r="L57" s="2"/>
    </x:row>
    <x:row r="58">
      <x:c r="A58" s="2"/>
      <x:c r="B58" s="2"/>
      <x:c r="C58" s="2"/>
      <x:c r="D58" s="2"/>
      <x:c r="E58" s="2"/>
      <x:c r="F58" s="2"/>
      <x:c r="G58" s="2"/>
      <x:c r="H58" s="2"/>
      <x:c r="I58" s="2"/>
      <x:c r="J58" s="2"/>
      <x:c r="K58" s="2"/>
      <x:c r="L58" s="2"/>
    </x:row>
    <x:row r="59">
      <x:c r="A59" s="2"/>
      <x:c r="B59" s="2"/>
      <x:c r="C59" s="2"/>
      <x:c r="D59" s="2"/>
      <x:c r="E59" s="2"/>
      <x:c r="F59" s="2"/>
      <x:c r="G59" s="2"/>
      <x:c r="H59" s="2"/>
      <x:c r="I59" s="2"/>
      <x:c r="J59" s="2"/>
      <x:c r="K59" s="2"/>
      <x:c r="L59" s="2"/>
    </x:row>
    <x:row r="60">
      <x:c r="A60" s="2"/>
      <x:c r="B60" s="2"/>
      <x:c r="C60" s="2"/>
      <x:c r="D60" s="2"/>
      <x:c r="E60" s="2"/>
      <x:c r="F60" s="2"/>
      <x:c r="G60" s="2"/>
      <x:c r="H60" s="2"/>
      <x:c r="I60" s="2"/>
      <x:c r="J60" s="2"/>
      <x:c r="K60" s="2"/>
      <x:c r="L60" s="2"/>
    </x:row>
    <x:row r="61">
      <x:c r="A61" s="2"/>
      <x:c r="B61" s="2"/>
      <x:c r="C61" s="2"/>
      <x:c r="D61" s="2"/>
      <x:c r="E61" s="2"/>
      <x:c r="F61" s="2"/>
      <x:c r="G61" s="2"/>
      <x:c r="H61" s="2"/>
      <x:c r="I61" s="2"/>
      <x:c r="J61" s="2"/>
      <x:c r="K61" s="2"/>
      <x:c r="L61" s="2"/>
    </x:row>
    <x:row r="62">
      <x:c r="A62" s="2"/>
      <x:c r="B62" s="2"/>
      <x:c r="C62" s="2"/>
      <x:c r="D62" s="2"/>
      <x:c r="E62" s="2"/>
      <x:c r="F62" s="2"/>
      <x:c r="G62" s="2"/>
      <x:c r="H62" s="2"/>
      <x:c r="I62" s="2"/>
      <x:c r="J62" s="2"/>
      <x:c r="K62" s="2"/>
      <x:c r="L62" s="2"/>
    </x:row>
    <x:row r="63">
      <x:c r="A63" s="2"/>
      <x:c r="B63" s="2"/>
      <x:c r="C63" s="2"/>
      <x:c r="D63" s="2"/>
      <x:c r="E63" s="2"/>
      <x:c r="F63" s="2"/>
      <x:c r="G63" s="2"/>
      <x:c r="H63" s="2"/>
      <x:c r="I63" s="2"/>
      <x:c r="J63" s="2"/>
      <x:c r="K63" s="2"/>
      <x:c r="L63" s="2"/>
    </x:row>
    <x:row r="64">
      <x:c r="A64" s="2"/>
      <x:c r="B64" s="2"/>
      <x:c r="C64" s="2"/>
      <x:c r="D64" s="2"/>
      <x:c r="E64" s="2"/>
      <x:c r="F64" s="2"/>
      <x:c r="G64" s="2"/>
      <x:c r="H64" s="2"/>
      <x:c r="I64" s="2"/>
      <x:c r="J64" s="2"/>
      <x:c r="K64" s="2"/>
      <x:c r="L64" s="2"/>
    </x:row>
    <x:row r="65">
      <x:c r="A65" s="2"/>
      <x:c r="B65" s="2"/>
      <x:c r="C65" s="2"/>
      <x:c r="D65" s="2"/>
      <x:c r="E65" s="2"/>
      <x:c r="F65" s="2"/>
      <x:c r="G65" s="2"/>
      <x:c r="H65" s="2"/>
      <x:c r="I65" s="2"/>
      <x:c r="J65" s="2"/>
      <x:c r="K65" s="2"/>
      <x:c r="L65" s="2"/>
    </x:row>
    <x:row r="66">
      <x:c r="A66" s="2"/>
      <x:c r="B66" s="2"/>
      <x:c r="C66" s="2"/>
      <x:c r="D66" s="2"/>
      <x:c r="E66" s="2"/>
      <x:c r="F66" s="2"/>
      <x:c r="G66" s="2"/>
      <x:c r="H66" s="2"/>
      <x:c r="I66" s="2"/>
      <x:c r="J66" s="2"/>
      <x:c r="K66" s="2"/>
      <x:c r="L66" s="2"/>
    </x:row>
    <x:row r="67">
      <x:c r="A67" s="2"/>
      <x:c r="B67" s="2"/>
      <x:c r="C67" s="2"/>
      <x:c r="D67" s="2"/>
      <x:c r="E67" s="2"/>
      <x:c r="F67" s="2"/>
      <x:c r="G67" s="2"/>
      <x:c r="H67" s="2"/>
      <x:c r="I67" s="2"/>
      <x:c r="J67" s="2"/>
      <x:c r="K67" s="2"/>
      <x:c r="L67" s="2"/>
    </x:row>
    <x:row r="68">
      <x:c r="A68" s="2"/>
      <x:c r="B68" s="2"/>
      <x:c r="C68" s="2"/>
      <x:c r="D68" s="2"/>
      <x:c r="E68" s="2"/>
      <x:c r="F68" s="2"/>
      <x:c r="G68" s="2"/>
      <x:c r="H68" s="2"/>
      <x:c r="I68" s="2"/>
      <x:c r="J68" s="2"/>
      <x:c r="K68" s="2"/>
      <x:c r="L68" s="2"/>
    </x:row>
    <x:row r="69">
      <x:c r="A69" s="2"/>
      <x:c r="B69" s="2"/>
      <x:c r="C69" s="2"/>
      <x:c r="D69" s="2"/>
      <x:c r="E69" s="2"/>
      <x:c r="F69" s="2"/>
      <x:c r="G69" s="2"/>
      <x:c r="H69" s="2"/>
      <x:c r="I69" s="2"/>
      <x:c r="J69" s="2"/>
      <x:c r="K69" s="2"/>
      <x:c r="L69" s="2"/>
    </x:row>
    <x:row r="70">
      <x:c r="A70" s="2"/>
      <x:c r="B70" s="2"/>
      <x:c r="C70" s="2"/>
      <x:c r="D70" s="2"/>
      <x:c r="E70" s="2"/>
      <x:c r="F70" s="2"/>
      <x:c r="G70" s="2"/>
      <x:c r="H70" s="2"/>
      <x:c r="I70" s="2"/>
      <x:c r="J70" s="2"/>
      <x:c r="K70" s="2"/>
      <x:c r="L70" s="2"/>
    </x:row>
    <x:row r="71">
      <x:c r="A71" s="2"/>
      <x:c r="B71" s="2"/>
      <x:c r="C71" s="2"/>
      <x:c r="D71" s="2"/>
      <x:c r="E71" s="2"/>
      <x:c r="F71" s="2"/>
      <x:c r="G71" s="2"/>
      <x:c r="H71" s="2"/>
      <x:c r="I71" s="2"/>
      <x:c r="J71" s="2"/>
      <x:c r="K71" s="2"/>
      <x:c r="L71" s="2"/>
    </x:row>
    <x:row r="72">
      <x:c r="A72" s="2"/>
      <x:c r="B72" s="2"/>
      <x:c r="C72" s="2"/>
      <x:c r="D72" s="2"/>
      <x:c r="E72" s="2"/>
      <x:c r="F72" s="2"/>
      <x:c r="G72" s="2"/>
      <x:c r="H72" s="2"/>
      <x:c r="I72" s="2"/>
      <x:c r="J72" s="2"/>
      <x:c r="K72" s="2"/>
      <x:c r="L72" s="2"/>
    </x:row>
    <x:row r="73">
      <x:c r="A73" s="2"/>
      <x:c r="B73" s="2"/>
      <x:c r="C73" s="2"/>
      <x:c r="D73" s="2"/>
      <x:c r="E73" s="2"/>
      <x:c r="F73" s="2"/>
      <x:c r="G73" s="2"/>
      <x:c r="H73" s="2"/>
      <x:c r="I73" s="2"/>
      <x:c r="J73" s="2"/>
      <x:c r="K73" s="2"/>
      <x:c r="L73" s="2"/>
    </x:row>
    <x:row r="74">
      <x:c r="A74" s="2"/>
      <x:c r="B74" s="2"/>
      <x:c r="C74" s="2"/>
      <x:c r="D74" s="2"/>
      <x:c r="E74" s="2"/>
      <x:c r="F74" s="2"/>
      <x:c r="G74" s="2"/>
      <x:c r="H74" s="2"/>
      <x:c r="I74" s="2"/>
      <x:c r="J74" s="2"/>
      <x:c r="K74" s="2"/>
      <x:c r="L74" s="2"/>
    </x:row>
    <x:row r="75">
      <x:c r="A75" s="2"/>
      <x:c r="B75" s="2"/>
      <x:c r="C75" s="2"/>
      <x:c r="D75" s="2"/>
      <x:c r="E75" s="2"/>
      <x:c r="F75" s="2"/>
      <x:c r="G75" s="2"/>
      <x:c r="H75" s="2"/>
      <x:c r="I75" s="2"/>
      <x:c r="J75" s="2"/>
      <x:c r="K75" s="2"/>
      <x:c r="L75" s="2"/>
    </x:row>
    <x:row r="76">
      <x:c r="A76" s="2"/>
      <x:c r="B76" s="2"/>
      <x:c r="C76" s="2"/>
      <x:c r="D76" s="2"/>
      <x:c r="E76" s="2"/>
      <x:c r="F76" s="2"/>
      <x:c r="G76" s="2"/>
      <x:c r="H76" s="2"/>
      <x:c r="I76" s="2"/>
      <x:c r="J76" s="2"/>
      <x:c r="K76" s="2"/>
      <x:c r="L76" s="2"/>
    </x:row>
    <x:row r="77">
      <x:c r="A77" s="2"/>
      <x:c r="B77" s="2"/>
      <x:c r="C77" s="2"/>
      <x:c r="D77" s="2"/>
      <x:c r="E77" s="2"/>
      <x:c r="F77" s="2"/>
      <x:c r="G77" s="2"/>
      <x:c r="H77" s="2"/>
      <x:c r="I77" s="2"/>
      <x:c r="J77" s="2"/>
      <x:c r="K77" s="2"/>
      <x:c r="L77" s="2"/>
    </x:row>
    <x:row r="78">
      <x:c r="A78" s="2"/>
      <x:c r="B78" s="2"/>
      <x:c r="C78" s="2"/>
      <x:c r="D78" s="2"/>
      <x:c r="E78" s="2"/>
      <x:c r="F78" s="2"/>
      <x:c r="G78" s="2"/>
      <x:c r="H78" s="2"/>
      <x:c r="I78" s="2"/>
      <x:c r="J78" s="2"/>
      <x:c r="K78" s="2"/>
      <x:c r="L78" s="2"/>
    </x:row>
    <x:row r="79">
      <x:c r="A79" s="2"/>
      <x:c r="B79" s="2"/>
      <x:c r="C79" s="2"/>
      <x:c r="D79" s="2"/>
      <x:c r="E79" s="2"/>
      <x:c r="F79" s="2"/>
      <x:c r="G79" s="2"/>
      <x:c r="H79" s="2"/>
      <x:c r="I79" s="2"/>
      <x:c r="J79" s="2"/>
      <x:c r="K79" s="2"/>
      <x:c r="L79" s="2"/>
    </x:row>
    <x:row r="80">
      <x:c r="A80" s="2"/>
      <x:c r="B80" s="2"/>
      <x:c r="C80" s="2"/>
      <x:c r="D80" s="2"/>
      <x:c r="E80" s="2"/>
      <x:c r="F80" s="2"/>
      <x:c r="G80" s="2"/>
      <x:c r="H80" s="2"/>
      <x:c r="I80" s="2"/>
      <x:c r="J80" s="2"/>
      <x:c r="K80" s="2"/>
      <x:c r="L80" s="2"/>
    </x:row>
  </x:sheetData>
  <x:mergeCells>
    <x:mergeCell ref="A2:L2"/>
    <x:mergeCell ref="A4:L4"/>
    <x:mergeCell ref="A6:L7"/>
    <x:mergeCell ref="A9:E9"/>
    <x:mergeCell ref="G9:L9"/>
  </x:mergeCells>
  <x:pageMargins left="0.7" right="0.7" top="0.75" bottom="0.75" header="0.3" footer="0.3"/>
  <x:drawing xmlns:r="http://schemas.openxmlformats.org/officeDocument/2006/relationships" r:id="Rfa56f43832c84253"/>
</x:worksheet>
</file>

<file path=xl/worksheets/sheet5.xml><?xml version="1.0" encoding="utf-8"?>
<x:worksheet xmlns:x="http://schemas.openxmlformats.org/spreadsheetml/2006/main">
  <x:sheetViews>
    <x:sheetView workbookViewId="0">
      <x:pane ySplit="7" topLeftCell="A8" activePane="bottomLeft" state="frozen"/>
    </x:sheetView>
  </x:sheetViews>
  <x:sheetFormatPr defaultRowHeight="15"/>
  <x:cols>
    <x:col min="1" max="1" width="14" hidden="0" customWidth="1"/>
    <x:col min="2" max="2" width="33" hidden="0" customWidth="1"/>
    <x:col min="3" max="3" width="16" hidden="0" customWidth="1"/>
    <x:col min="4" max="4" width="16" hidden="0" customWidth="1"/>
    <x:col min="5" max="5" width="16" hidden="0" customWidth="1"/>
    <x:col min="6" max="6" width="18" hidden="0" customWidth="1"/>
    <x:col min="7" max="7" width="18" hidden="0" customWidth="1"/>
    <x:col min="8" max="8" width="20" hidden="0" customWidth="1"/>
    <x:col min="9" max="9" width="20" hidden="0" customWidth="1"/>
    <x:col min="10" max="10" width="18" hidden="0" customWidth="1"/>
    <x:col min="11" max="11" width="36" hidden="0" customWidth="1"/>
    <x:col min="12" max="12" width="20" hidden="0" customWidth="1"/>
    <x:col min="13" max="13" width="22" hidden="0" customWidth="1"/>
    <x:col min="14" max="14" width="24" hidden="0" customWidth="1"/>
  </x:cols>
  <x:sheetData>
    <x:row r="1" ht="8" customHeight="1">
      <x:c r="A1" s="2"/>
      <x:c r="B1" s="2"/>
      <x:c r="C1" s="2"/>
      <x:c r="D1" s="2"/>
      <x:c r="E1" s="2"/>
      <x:c r="F1" s="2"/>
      <x:c r="G1" s="2"/>
      <x:c r="H1" s="2"/>
      <x:c r="I1" s="2"/>
      <x:c r="J1" s="2"/>
      <x:c r="K1" s="2"/>
      <x:c r="L1" s="2"/>
      <x:c r="M1" s="2"/>
      <x:c r="N1" s="2"/>
    </x:row>
    <x:row r="2" ht="32" customHeight="1">
      <x:c r="A2" s="4" t="str">
        <x:v>J14 — Sources, hypothèses et traçabilité</x:v>
      </x:c>
      <x:c r="B2" s="2"/>
      <x:c r="C2" s="2"/>
      <x:c r="D2" s="2"/>
      <x:c r="E2" s="2"/>
      <x:c r="F2" s="2"/>
      <x:c r="G2" s="2"/>
      <x:c r="H2" s="2"/>
      <x:c r="I2" s="2"/>
      <x:c r="J2" s="2"/>
      <x:c r="K2" s="2"/>
      <x:c r="L2" s="2"/>
      <x:c r="M2" s="2"/>
      <x:c r="N2" s="2"/>
    </x:row>
    <x:row r="3" ht="5" customHeight="1">
      <x:c r="A3" s="5"/>
      <x:c r="B3" s="5"/>
      <x:c r="C3" s="5"/>
      <x:c r="D3" s="5"/>
      <x:c r="E3" s="5"/>
      <x:c r="F3" s="5"/>
      <x:c r="G3" s="5"/>
      <x:c r="H3" s="5"/>
      <x:c r="I3" s="5"/>
      <x:c r="J3" s="5"/>
      <x:c r="K3" s="5"/>
      <x:c r="L3" s="5"/>
      <x:c r="M3" s="5"/>
      <x:c r="N3" s="5"/>
    </x:row>
    <x:row r="4" ht="25" customHeight="1">
      <x:c r="A4" s="8" t="str">
        <x:v>Données observées EMA-120 et reconstruction d’ingénierie des micro-tâches SMED.</x:v>
      </x:c>
      <x:c r="B4" s="2"/>
      <x:c r="C4" s="2"/>
      <x:c r="D4" s="2"/>
      <x:c r="E4" s="2"/>
      <x:c r="F4" s="2"/>
      <x:c r="G4" s="2"/>
      <x:c r="H4" s="2"/>
      <x:c r="I4" s="2"/>
      <x:c r="J4" s="2"/>
      <x:c r="K4" s="2"/>
      <x:c r="L4" s="2"/>
      <x:c r="M4" s="2"/>
      <x:c r="N4" s="2"/>
    </x:row>
    <x:row r="5">
      <x:c r="A5" s="2"/>
      <x:c r="B5" s="2"/>
      <x:c r="C5" s="2"/>
      <x:c r="D5" s="2"/>
      <x:c r="E5" s="2"/>
      <x:c r="F5" s="2"/>
      <x:c r="G5" s="2"/>
      <x:c r="H5" s="2"/>
      <x:c r="I5" s="2"/>
      <x:c r="J5" s="2"/>
      <x:c r="K5" s="2"/>
      <x:c r="L5" s="2"/>
      <x:c r="M5" s="2"/>
      <x:c r="N5" s="2"/>
    </x:row>
    <x:row r="6" ht="24" customHeight="1">
      <x:c r="A6" s="9" t="str">
        <x:v>1. Observations réelles — changement de série ST50</x:v>
      </x:c>
      <x:c r="B6" s="9"/>
      <x:c r="C6" s="9"/>
      <x:c r="D6" s="9"/>
      <x:c r="E6" s="2"/>
      <x:c r="F6" s="9" t="str">
        <x:v>2. Références de capacité ST50</x:v>
      </x:c>
      <x:c r="G6" s="9"/>
      <x:c r="H6" s="9"/>
      <x:c r="I6" s="9"/>
      <x:c r="J6" s="2"/>
      <x:c r="K6" s="2"/>
      <x:c r="L6" s="2"/>
      <x:c r="M6" s="2"/>
      <x:c r="N6" s="2"/>
    </x:row>
    <x:row r="7">
      <x:c r="A7" s="18" t="str">
        <x:v>Indicateur</x:v>
      </x:c>
      <x:c r="B7" s="19" t="str">
        <x:v>Valeur</x:v>
      </x:c>
      <x:c r="C7" s="19" t="str">
        <x:v>Unité</x:v>
      </x:c>
      <x:c r="D7" s="20" t="str">
        <x:v>Interprétation</x:v>
      </x:c>
      <x:c r="E7" s="2"/>
      <x:c r="F7" s="18" t="str">
        <x:v>Indicateur</x:v>
      </x:c>
      <x:c r="G7" s="19" t="str">
        <x:v>Valeur</x:v>
      </x:c>
      <x:c r="H7" s="19" t="str">
        <x:v>Unité</x:v>
      </x:c>
      <x:c r="I7" s="20" t="str">
        <x:v>Source / usage</x:v>
      </x:c>
      <x:c r="J7" s="2"/>
      <x:c r="K7" s="2"/>
      <x:c r="L7" s="2"/>
      <x:c r="M7" s="2"/>
      <x:c r="N7" s="2"/>
    </x:row>
    <x:row r="8">
      <x:c r="A8" s="22" t="str">
        <x:v>Nombre de changements</x:v>
      </x:c>
      <x:c r="B8" s="30" t="n">
        <x:v>45</x:v>
      </x:c>
      <x:c r="C8" s="23" t="str">
        <x:v>événements</x:v>
      </x:c>
      <x:c r="D8" s="24" t="str">
        <x:v>20 jours de production</x:v>
      </x:c>
      <x:c r="E8" s="2"/>
      <x:c r="F8" s="22" t="str">
        <x:v>Temps disponible</x:v>
      </x:c>
      <x:c r="G8" s="30" t="n">
        <x:v>52800</x:v>
      </x:c>
      <x:c r="H8" s="23" t="str">
        <x:v>s/jour</x:v>
      </x:c>
      <x:c r="I8" s="24" t="str">
        <x:v>Base takt</x:v>
      </x:c>
      <x:c r="J8" s="2"/>
      <x:c r="K8" s="2"/>
      <x:c r="L8" s="2"/>
      <x:c r="M8" s="2"/>
      <x:c r="N8" s="2"/>
    </x:row>
    <x:row r="9">
      <x:c r="A9" s="25" t="str">
        <x:v>Durée moyenne</x:v>
      </x:c>
      <x:c r="B9" s="31" t="n">
        <x:v>1500</x:v>
      </x:c>
      <x:c r="C9" s="21" t="str">
        <x:v>s/changement</x:v>
      </x:c>
      <x:c r="D9" s="26" t="str">
        <x:v>25,0 min</x:v>
      </x:c>
      <x:c r="E9" s="2"/>
      <x:c r="F9" s="25" t="str">
        <x:v>Demande</x:v>
      </x:c>
      <x:c r="G9" s="31" t="n">
        <x:v>210</x:v>
      </x:c>
      <x:c r="H9" s="21" t="str">
        <x:v>u/jour</x:v>
      </x:c>
      <x:c r="I9" s="26" t="str">
        <x:v>Besoin client</x:v>
      </x:c>
      <x:c r="J9" s="2"/>
      <x:c r="K9" s="2"/>
      <x:c r="L9" s="2"/>
      <x:c r="M9" s="2"/>
      <x:c r="N9" s="2"/>
    </x:row>
    <x:row r="10">
      <x:c r="A10" s="25" t="str">
        <x:v>Durée médiane</x:v>
      </x:c>
      <x:c r="B10" s="31" t="n">
        <x:v>1500</x:v>
      </x:c>
      <x:c r="C10" s="21" t="str">
        <x:v>s/changement</x:v>
      </x:c>
      <x:c r="D10" s="26" t="str">
        <x:v>Distribution stable</x:v>
      </x:c>
      <x:c r="E10" s="2"/>
      <x:c r="F10" s="25" t="str">
        <x:v>Takt</x:v>
      </x:c>
      <x:c r="G10" s="31" t="n">
        <x:v>251.42857142857142</x:v>
      </x:c>
      <x:c r="H10" s="21" t="str">
        <x:v>s/u</x:v>
      </x:c>
      <x:c r="I10" s="26" t="str">
        <x:v>Jour 8</x:v>
      </x:c>
      <x:c r="J10" s="2"/>
      <x:c r="K10" s="2"/>
      <x:c r="L10" s="2"/>
      <x:c r="M10" s="2"/>
      <x:c r="N10" s="2"/>
    </x:row>
    <x:row r="11">
      <x:c r="A11" s="25" t="str">
        <x:v>Durée minimale</x:v>
      </x:c>
      <x:c r="B11" s="31" t="n">
        <x:v>1500</x:v>
      </x:c>
      <x:c r="C11" s="21" t="str">
        <x:v>s/changement</x:v>
      </x:c>
      <x:c r="D11" s="26" t="str">
        <x:v>Valeur observée</x:v>
      </x:c>
      <x:c r="E11" s="2"/>
      <x:c r="F11" s="25" t="str">
        <x:v>Charge effective actuelle</x:v>
      </x:c>
      <x:c r="G11" s="31" t="n">
        <x:v>329.4122306717364</x:v>
      </x:c>
      <x:c r="H11" s="21" t="str">
        <x:v>s/u</x:v>
      </x:c>
      <x:c r="I11" s="26" t="str">
        <x:v>Jour 9 / VSM</x:v>
      </x:c>
      <x:c r="J11" s="2"/>
      <x:c r="K11" s="2"/>
      <x:c r="L11" s="2"/>
      <x:c r="M11" s="2"/>
      <x:c r="N11" s="2"/>
    </x:row>
    <x:row r="12">
      <x:c r="A12" s="25" t="str">
        <x:v>Durée maximale</x:v>
      </x:c>
      <x:c r="B12" s="31" t="n">
        <x:v>1500</x:v>
      </x:c>
      <x:c r="C12" s="21" t="str">
        <x:v>s/changement</x:v>
      </x:c>
      <x:c r="D12" s="26" t="str">
        <x:v>Valeur observée</x:v>
      </x:c>
      <x:c r="E12" s="2"/>
      <x:c r="F12" s="25" t="str">
        <x:v>Charge changement actuelle</x:v>
      </x:c>
      <x:c r="G12" s="31" t="n">
        <x:v>21.38783269961977</x:v>
      </x:c>
      <x:c r="H12" s="21" t="str">
        <x:v>s/u</x:v>
      </x:c>
      <x:c r="I12" s="26" t="str">
        <x:v>Allouée par unité</x:v>
      </x:c>
      <x:c r="J12" s="2"/>
      <x:c r="K12" s="2"/>
      <x:c r="L12" s="2"/>
      <x:c r="M12" s="2"/>
      <x:c r="N12" s="2"/>
    </x:row>
    <x:row r="13">
      <x:c r="A13" s="25" t="str">
        <x:v>Temps total</x:v>
      </x:c>
      <x:c r="B13" s="31" t="n">
        <x:v>67500</x:v>
      </x:c>
      <x:c r="C13" s="21" t="str">
        <x:v>s/période</x:v>
      </x:c>
      <x:c r="D13" s="26" t="str">
        <x:v>18,75 h</x:v>
      </x:c>
      <x:c r="E13" s="2"/>
      <x:c r="F13" s="25" t="str">
        <x:v>Capacité de référence actuelle</x:v>
      </x:c>
      <x:c r="G13" s="31" t="n">
        <x:v>160.285487555609</x:v>
      </x:c>
      <x:c r="H13" s="21" t="str">
        <x:v>u/jour</x:v>
      </x:c>
      <x:c r="I13" s="26" t="str">
        <x:v>Temps disponible / charge</x:v>
      </x:c>
      <x:c r="J13" s="2"/>
      <x:c r="K13" s="2"/>
      <x:c r="L13" s="2"/>
      <x:c r="M13" s="2"/>
      <x:c r="N13" s="2"/>
    </x:row>
    <x:row r="14">
      <x:c r="A14" s="25" t="str">
        <x:v>Fréquence</x:v>
      </x:c>
      <x:c r="B14" s="31" t="n">
        <x:v>2.25</x:v>
      </x:c>
      <x:c r="C14" s="21" t="str">
        <x:v>changements/jour</x:v>
      </x:c>
      <x:c r="D14" s="26" t="str">
        <x:v>Moyenne période</x:v>
      </x:c>
      <x:c r="E14" s="2"/>
      <x:c r="F14" s="25" t="str">
        <x:v>Disponibilité actuelle ST50</x:v>
      </x:c>
      <x:c r="G14" s="34" t="n">
        <x:v>0.9114251893939394</x:v>
      </x:c>
      <x:c r="H14" s="21" t="str">
        <x:v>%</x:v>
      </x:c>
      <x:c r="I14" s="26" t="str">
        <x:v>Jour 9</x:v>
      </x:c>
      <x:c r="J14" s="2"/>
      <x:c r="K14" s="2"/>
      <x:c r="L14" s="2"/>
      <x:c r="M14" s="2"/>
      <x:c r="N14" s="2"/>
    </x:row>
    <x:row r="15">
      <x:c r="A15" s="25" t="str">
        <x:v>Temps par jour</x:v>
      </x:c>
      <x:c r="B15" s="31" t="n">
        <x:v>56.25</x:v>
      </x:c>
      <x:c r="C15" s="21" t="str">
        <x:v>min/jour</x:v>
      </x:c>
      <x:c r="D15" s="26" t="str">
        <x:v>Arrêt moyen lié aux changements</x:v>
      </x:c>
      <x:c r="E15" s="2"/>
      <x:c r="F15" s="27" t="str">
        <x:v>Temps planifié période</x:v>
      </x:c>
      <x:c r="G15" s="32" t="n">
        <x:v>1056000</x:v>
      </x:c>
      <x:c r="H15" s="28" t="str">
        <x:v>s/période</x:v>
      </x:c>
      <x:c r="I15" s="29" t="str">
        <x:v>20 jours</x:v>
      </x:c>
      <x:c r="J15" s="2"/>
      <x:c r="K15" s="2"/>
      <x:c r="L15" s="2"/>
      <x:c r="M15" s="2"/>
      <x:c r="N15" s="2"/>
    </x:row>
    <x:row r="16">
      <x:c r="A16" s="25" t="str">
        <x:v>Part du temps planifié ST50</x:v>
      </x:c>
      <x:c r="B16" s="34" t="n">
        <x:v>0.06392045454545454</x:v>
      </x:c>
      <x:c r="C16" s="21" t="str">
        <x:v>%</x:v>
      </x:c>
      <x:c r="D16" s="26" t="str">
        <x:v>Impact significatif</x:v>
      </x:c>
      <x:c r="E16" s="2"/>
      <x:c r="F16" s="2"/>
      <x:c r="G16" s="2"/>
      <x:c r="H16" s="2"/>
      <x:c r="I16" s="2"/>
      <x:c r="J16" s="2"/>
      <x:c r="K16" s="2"/>
      <x:c r="L16" s="2"/>
      <x:c r="M16" s="2"/>
      <x:c r="N16" s="2"/>
    </x:row>
    <x:row r="17">
      <x:c r="A17" s="25" t="str">
        <x:v>Part des arrêts ST50</x:v>
      </x:c>
      <x:c r="B17" s="34" t="n">
        <x:v>0.7216549954562463</x:v>
      </x:c>
      <x:c r="C17" s="21" t="str">
        <x:v>%</x:v>
      </x:c>
      <x:c r="D17" s="26" t="str">
        <x:v>Cause dominante des arrêts</x:v>
      </x:c>
      <x:c r="E17" s="2"/>
      <x:c r="F17" s="2"/>
      <x:c r="G17" s="2"/>
      <x:c r="H17" s="2"/>
      <x:c r="I17" s="2"/>
      <x:c r="J17" s="2"/>
      <x:c r="K17" s="2"/>
      <x:c r="L17" s="2"/>
      <x:c r="M17" s="2"/>
      <x:c r="N17" s="2"/>
    </x:row>
    <x:row r="18">
      <x:c r="A18" s="25" t="str">
        <x:v>Premier article conforme</x:v>
      </x:c>
      <x:c r="B18" s="31" t="n">
        <x:v>45</x:v>
      </x:c>
      <x:c r="C18" s="21" t="str">
        <x:v>PASS / total</x:v>
      </x:c>
      <x:c r="D18" s="26" t="str">
        <x:v>45/45</x:v>
      </x:c>
      <x:c r="E18" s="2"/>
      <x:c r="F18" s="2"/>
      <x:c r="G18" s="2"/>
      <x:c r="H18" s="2"/>
      <x:c r="I18" s="2"/>
      <x:c r="J18" s="2"/>
      <x:c r="K18" s="2"/>
      <x:c r="L18" s="2"/>
      <x:c r="M18" s="2"/>
      <x:c r="N18" s="2"/>
    </x:row>
    <x:row r="19">
      <x:c r="A19" s="25" t="str">
        <x:v>Transition A → B</x:v>
      </x:c>
      <x:c r="B19" s="31" t="n">
        <x:v>15</x:v>
      </x:c>
      <x:c r="C19" s="21" t="str">
        <x:v>événements</x:v>
      </x:c>
      <x:c r="D19" s="26" t="str">
        <x:v>Échantillon équilibré</x:v>
      </x:c>
      <x:c r="E19" s="2"/>
      <x:c r="F19" s="2"/>
      <x:c r="G19" s="2"/>
      <x:c r="H19" s="2"/>
      <x:c r="I19" s="2"/>
      <x:c r="J19" s="2"/>
      <x:c r="K19" s="2"/>
      <x:c r="L19" s="2"/>
      <x:c r="M19" s="2"/>
      <x:c r="N19" s="2"/>
    </x:row>
    <x:row r="20">
      <x:c r="A20" s="25" t="str">
        <x:v>Transition B → C</x:v>
      </x:c>
      <x:c r="B20" s="31" t="n">
        <x:v>15</x:v>
      </x:c>
      <x:c r="C20" s="21" t="str">
        <x:v>événements</x:v>
      </x:c>
      <x:c r="D20" s="26" t="str">
        <x:v>Échantillon équilibré</x:v>
      </x:c>
      <x:c r="E20" s="2"/>
      <x:c r="F20" s="2"/>
      <x:c r="G20" s="2"/>
      <x:c r="H20" s="2"/>
      <x:c r="I20" s="2"/>
      <x:c r="J20" s="2"/>
      <x:c r="K20" s="2"/>
      <x:c r="L20" s="2"/>
      <x:c r="M20" s="2"/>
      <x:c r="N20" s="2"/>
    </x:row>
    <x:row r="21">
      <x:c r="A21" s="27" t="str">
        <x:v>Transition C → A</x:v>
      </x:c>
      <x:c r="B21" s="32" t="n">
        <x:v>15</x:v>
      </x:c>
      <x:c r="C21" s="28" t="str">
        <x:v>événements</x:v>
      </x:c>
      <x:c r="D21" s="29" t="str">
        <x:v>Échantillon équilibré</x:v>
      </x:c>
      <x:c r="E21" s="2"/>
      <x:c r="F21" s="2"/>
      <x:c r="G21" s="2"/>
      <x:c r="H21" s="2"/>
      <x:c r="I21" s="2"/>
      <x:c r="J21" s="2"/>
      <x:c r="K21" s="2"/>
      <x:c r="L21" s="2"/>
      <x:c r="M21" s="2"/>
      <x:c r="N21" s="2"/>
    </x:row>
    <x:row r="22">
      <x:c r="A22" s="2"/>
      <x:c r="B22" s="33"/>
      <x:c r="C22" s="2"/>
      <x:c r="D22" s="2"/>
      <x:c r="E22" s="2"/>
      <x:c r="F22" s="2"/>
      <x:c r="G22" s="2"/>
      <x:c r="H22" s="2"/>
      <x:c r="I22" s="2"/>
      <x:c r="J22" s="2"/>
      <x:c r="K22" s="2"/>
      <x:c r="L22" s="2"/>
      <x:c r="M22" s="2"/>
      <x:c r="N22" s="2"/>
    </x:row>
    <x:row r="23">
      <x:c r="A23" s="2"/>
      <x:c r="B23" s="2"/>
      <x:c r="C23" s="2"/>
      <x:c r="D23" s="2"/>
      <x:c r="E23" s="2"/>
      <x:c r="F23" s="2"/>
      <x:c r="G23" s="2"/>
      <x:c r="H23" s="2"/>
      <x:c r="I23" s="2"/>
      <x:c r="J23" s="2"/>
      <x:c r="K23" s="2"/>
      <x:c r="L23" s="2"/>
      <x:c r="M23" s="2"/>
      <x:c r="N23" s="2"/>
    </x:row>
    <x:row r="24">
      <x:c r="A24" s="2"/>
      <x:c r="B24" s="2"/>
      <x:c r="C24" s="2"/>
      <x:c r="D24" s="2"/>
      <x:c r="E24" s="2"/>
      <x:c r="F24" s="2"/>
      <x:c r="G24" s="2"/>
      <x:c r="H24" s="2"/>
      <x:c r="I24" s="2"/>
      <x:c r="J24" s="2"/>
      <x:c r="K24" s="2"/>
      <x:c r="L24" s="2"/>
      <x:c r="M24" s="2"/>
      <x:c r="N24" s="2"/>
    </x:row>
    <x:row r="25" ht="24" customHeight="1">
      <x:c r="A25" s="9" t="str">
        <x:v>3. Reconstruction des tâches — à confirmer par chronométrage terrain</x:v>
      </x:c>
      <x:c r="B25" s="9"/>
      <x:c r="C25" s="9"/>
      <x:c r="D25" s="9"/>
      <x:c r="E25" s="9"/>
      <x:c r="F25" s="9"/>
      <x:c r="G25" s="9"/>
      <x:c r="H25" s="9"/>
      <x:c r="I25" s="9"/>
      <x:c r="J25" s="9"/>
      <x:c r="K25" s="9"/>
      <x:c r="L25" s="9"/>
      <x:c r="M25" s="9"/>
      <x:c r="N25" s="9"/>
    </x:row>
    <x:row r="26">
      <x:c r="A26" s="18" t="str">
        <x:v>ID</x:v>
      </x:c>
      <x:c r="B26" s="19" t="str">
        <x:v>Activité</x:v>
      </x:c>
      <x:c r="C26" s="19" t="str">
        <x:v>Type actuel</x:v>
      </x:c>
      <x:c r="D26" s="19" t="str">
        <x:v>Durée actuelle (s)</x:v>
      </x:c>
      <x:c r="E26" s="19" t="str">
        <x:v>Action retenue</x:v>
      </x:c>
      <x:c r="F26" s="19" t="str">
        <x:v>Externalisé (s)</x:v>
      </x:c>
      <x:c r="G26" s="19" t="str">
        <x:v>Supprimé / simplifié (s)</x:v>
      </x:c>
      <x:c r="H26" s="19" t="str">
        <x:v>Interne futur (s)</x:v>
      </x:c>
      <x:c r="I26" s="19" t="str">
        <x:v>Externe futur (s)</x:v>
      </x:c>
      <x:c r="J26" s="19" t="str">
        <x:v>Gain arrêt (s)</x:v>
      </x:c>
      <x:c r="K26" s="19" t="str">
        <x:v>Contremesure</x:v>
      </x:c>
      <x:c r="L26" s="19" t="str">
        <x:v>Responsable</x:v>
      </x:c>
      <x:c r="M26" s="19" t="str">
        <x:v>Preuve</x:v>
      </x:c>
      <x:c r="N26" s="20" t="str">
        <x:v>Justification</x:v>
      </x:c>
    </x:row>
    <x:row r="27" ht="42" customHeight="1">
      <x:c r="A27" s="22" t="str">
        <x:v>SMED-01</x:v>
      </x:c>
      <x:c r="B27" s="35" t="str">
        <x:v>Confirmer la prochaine variante et préparer le dossier</x:v>
      </x:c>
      <x:c r="C27" s="23" t="str">
        <x:v>Interne reconstruit</x:v>
      </x:c>
      <x:c r="D27" s="41" t="n">
        <x:v>60</x:v>
      </x:c>
      <x:c r="E27" s="42" t="str">
        <x:v>Externaliser</x:v>
      </x:c>
      <x:c r="F27" s="42" t="n">
        <x:v>60</x:v>
      </x:c>
      <x:c r="G27" s="42" t="n">
        <x:v>0</x:v>
      </x:c>
      <x:c r="H27" s="42" t="n">
        <x:v>0</x:v>
      </x:c>
      <x:c r="I27" s="42" t="n">
        <x:v>60</x:v>
      </x:c>
      <x:c r="J27" s="42" t="n">
        <x:v>60</x:v>
      </x:c>
      <x:c r="K27" s="35" t="str">
        <x:v>Dossier et ordre de fabrication disponibles avant l'arrêt</x:v>
      </x:c>
      <x:c r="L27" s="35" t="str">
        <x:v>Planification</x:v>
      </x:c>
      <x:c r="M27" s="35" t="str">
        <x:v>Reconstruction à valider</x:v>
      </x:c>
      <x:c r="N27" s="38" t="str">
        <x:v>Activité réalisable avant l’arrêt du banc.</x:v>
      </x:c>
    </x:row>
    <x:row r="28" ht="42" customHeight="1">
      <x:c r="A28" s="25" t="str">
        <x:v>SMED-02</x:v>
      </x:c>
      <x:c r="B28" s="36" t="str">
        <x:v>Arrêter et sécuriser le banc</x:v>
      </x:c>
      <x:c r="C28" s="21" t="str">
        <x:v>Interne reconstruit</x:v>
      </x:c>
      <x:c r="D28" s="43" t="n">
        <x:v>90</x:v>
      </x:c>
      <x:c r="E28" s="44" t="str">
        <x:v>Simplifier</x:v>
      </x:c>
      <x:c r="F28" s="44" t="n">
        <x:v>0</x:v>
      </x:c>
      <x:c r="G28" s="44" t="n">
        <x:v>15</x:v>
      </x:c>
      <x:c r="H28" s="44" t="n">
        <x:v>75</x:v>
      </x:c>
      <x:c r="I28" s="44" t="n">
        <x:v>0</x:v>
      </x:c>
      <x:c r="J28" s="44" t="n">
        <x:v>15</x:v>
      </x:c>
      <x:c r="K28" s="36" t="str">
        <x:v>Checklist d'arrêt unique et points de sécurité visuels</x:v>
      </x:c>
      <x:c r="L28" s="36" t="str">
        <x:v>Production</x:v>
      </x:c>
      <x:c r="M28" s="36" t="str">
        <x:v>Reconstruction à valider</x:v>
      </x:c>
      <x:c r="N28" s="39" t="str">
        <x:v>Réduire les gestes, recherches et réglages sans supprimer le contrôle.</x:v>
      </x:c>
    </x:row>
    <x:row r="29" ht="42" customHeight="1">
      <x:c r="A29" s="25" t="str">
        <x:v>SMED-03</x:v>
      </x:c>
      <x:c r="B29" s="36" t="str">
        <x:v>Chercher et transporter les outillages et adaptateurs</x:v>
      </x:c>
      <x:c r="C29" s="21" t="str">
        <x:v>Interne reconstruit</x:v>
      </x:c>
      <x:c r="D29" s="43" t="n">
        <x:v>180</x:v>
      </x:c>
      <x:c r="E29" s="44" t="str">
        <x:v>Externaliser</x:v>
      </x:c>
      <x:c r="F29" s="44" t="n">
        <x:v>180</x:v>
      </x:c>
      <x:c r="G29" s="44" t="n">
        <x:v>0</x:v>
      </x:c>
      <x:c r="H29" s="44" t="n">
        <x:v>0</x:v>
      </x:c>
      <x:c r="I29" s="44" t="n">
        <x:v>180</x:v>
      </x:c>
      <x:c r="J29" s="44" t="n">
        <x:v>180</x:v>
      </x:c>
      <x:c r="K29" s="36" t="str">
        <x:v>Chariot SMED préparé au poste avant la dernière pièce</x:v>
      </x:c>
      <x:c r="L29" s="36" t="str">
        <x:v>Logistique</x:v>
      </x:c>
      <x:c r="M29" s="36" t="str">
        <x:v>Reconstruction à valider</x:v>
      </x:c>
      <x:c r="N29" s="39" t="str">
        <x:v>Activité réalisable avant l’arrêt du banc.</x:v>
      </x:c>
    </x:row>
    <x:row r="30" ht="42" customHeight="1">
      <x:c r="A30" s="25" t="str">
        <x:v>SMED-04</x:v>
      </x:c>
      <x:c r="B30" s="36" t="str">
        <x:v>Déposer les fixations de la série précédente</x:v>
      </x:c>
      <x:c r="C30" s="21" t="str">
        <x:v>Interne reconstruit</x:v>
      </x:c>
      <x:c r="D30" s="43" t="n">
        <x:v>180</x:v>
      </x:c>
      <x:c r="E30" s="44" t="str">
        <x:v>Simplifier</x:v>
      </x:c>
      <x:c r="F30" s="44" t="n">
        <x:v>0</x:v>
      </x:c>
      <x:c r="G30" s="44" t="n">
        <x:v>30</x:v>
      </x:c>
      <x:c r="H30" s="44" t="n">
        <x:v>150</x:v>
      </x:c>
      <x:c r="I30" s="44" t="n">
        <x:v>0</x:v>
      </x:c>
      <x:c r="J30" s="44" t="n">
        <x:v>30</x:v>
      </x:c>
      <x:c r="K30" s="36" t="str">
        <x:v>Repérage visuel, accès dégagé et ordre standard</x:v>
      </x:c>
      <x:c r="L30" s="36" t="str">
        <x:v>Méthodes</x:v>
      </x:c>
      <x:c r="M30" s="36" t="str">
        <x:v>Reconstruction à valider</x:v>
      </x:c>
      <x:c r="N30" s="39" t="str">
        <x:v>Réduire les gestes, recherches et réglages sans supprimer le contrôle.</x:v>
      </x:c>
    </x:row>
    <x:row r="31" ht="42" customHeight="1">
      <x:c r="A31" s="25" t="str">
        <x:v>SMED-05</x:v>
      </x:c>
      <x:c r="B31" s="36" t="str">
        <x:v>Nettoyer les surfaces et interfaces</x:v>
      </x:c>
      <x:c r="C31" s="21" t="str">
        <x:v>Interne reconstruit</x:v>
      </x:c>
      <x:c r="D31" s="43" t="n">
        <x:v>150</x:v>
      </x:c>
      <x:c r="E31" s="44" t="str">
        <x:v>Convertir + simplifier</x:v>
      </x:c>
      <x:c r="F31" s="44" t="n">
        <x:v>90</x:v>
      </x:c>
      <x:c r="G31" s="44" t="n">
        <x:v>15</x:v>
      </x:c>
      <x:c r="H31" s="44" t="n">
        <x:v>45</x:v>
      </x:c>
      <x:c r="I31" s="44" t="n">
        <x:v>90</x:v>
      </x:c>
      <x:c r="J31" s="44" t="n">
        <x:v>105</x:v>
      </x:c>
      <x:c r="K31" s="36" t="str">
        <x:v>Pré-nettoyage externe; nettoyage final limité aux interfaces</x:v>
      </x:c>
      <x:c r="L31" s="36" t="str">
        <x:v>Production</x:v>
      </x:c>
      <x:c r="M31" s="36" t="str">
        <x:v>Reconstruction à valider</x:v>
      </x:c>
      <x:c r="N31" s="39" t="str">
        <x:v>Déplacer la préparation hors arrêt puis réduire le résiduel interne.</x:v>
      </x:c>
    </x:row>
    <x:row r="32" ht="42" customHeight="1">
      <x:c r="A32" s="25" t="str">
        <x:v>SMED-06</x:v>
      </x:c>
      <x:c r="B32" s="36" t="str">
        <x:v>Installer le nouvel outillage et les adaptateurs</x:v>
      </x:c>
      <x:c r="C32" s="21" t="str">
        <x:v>Interne reconstruit</x:v>
      </x:c>
      <x:c r="D32" s="43" t="n">
        <x:v>240</x:v>
      </x:c>
      <x:c r="E32" s="44" t="str">
        <x:v>Simplifier</x:v>
      </x:c>
      <x:c r="F32" s="44" t="n">
        <x:v>0</x:v>
      </x:c>
      <x:c r="G32" s="44" t="n">
        <x:v>60</x:v>
      </x:c>
      <x:c r="H32" s="44" t="n">
        <x:v>180</x:v>
      </x:c>
      <x:c r="I32" s="44" t="n">
        <x:v>0</x:v>
      </x:c>
      <x:c r="J32" s="44" t="n">
        <x:v>60</x:v>
      </x:c>
      <x:c r="K32" s="36" t="str">
        <x:v>Bridages rapides, butées et détrompage</x:v>
      </x:c>
      <x:c r="L32" s="36" t="str">
        <x:v>Méthodes</x:v>
      </x:c>
      <x:c r="M32" s="36" t="str">
        <x:v>Reconstruction à valider</x:v>
      </x:c>
      <x:c r="N32" s="39" t="str">
        <x:v>Réduire les gestes, recherches et réglages sans supprimer le contrôle.</x:v>
      </x:c>
    </x:row>
    <x:row r="33" ht="42" customHeight="1">
      <x:c r="A33" s="25" t="str">
        <x:v>SMED-07</x:v>
      </x:c>
      <x:c r="B33" s="36" t="str">
        <x:v>Charger la recette et les paramètres de test</x:v>
      </x:c>
      <x:c r="C33" s="21" t="str">
        <x:v>Interne reconstruit</x:v>
      </x:c>
      <x:c r="D33" s="43" t="n">
        <x:v>120</x:v>
      </x:c>
      <x:c r="E33" s="44" t="str">
        <x:v>Convertir + simplifier</x:v>
      </x:c>
      <x:c r="F33" s="44" t="n">
        <x:v>90</x:v>
      </x:c>
      <x:c r="G33" s="44" t="n">
        <x:v>10</x:v>
      </x:c>
      <x:c r="H33" s="44" t="n">
        <x:v>20</x:v>
      </x:c>
      <x:c r="I33" s="44" t="n">
        <x:v>90</x:v>
      </x:c>
      <x:c r="J33" s="44" t="n">
        <x:v>100</x:v>
      </x:c>
      <x:c r="K33" s="36" t="str">
        <x:v>Recette préchargée hors arrêt; validation finale au banc</x:v>
      </x:c>
      <x:c r="L33" s="36" t="str">
        <x:v>Industrialisation</x:v>
      </x:c>
      <x:c r="M33" s="36" t="str">
        <x:v>Reconstruction à valider</x:v>
      </x:c>
      <x:c r="N33" s="39" t="str">
        <x:v>Déplacer la préparation hors arrêt puis réduire le résiduel interne.</x:v>
      </x:c>
    </x:row>
    <x:row r="34" ht="42" customHeight="1">
      <x:c r="A34" s="25" t="str">
        <x:v>SMED-08</x:v>
      </x:c>
      <x:c r="B34" s="36" t="str">
        <x:v>Raccorder les capteurs et câbles de test</x:v>
      </x:c>
      <x:c r="C34" s="21" t="str">
        <x:v>Interne reconstruit</x:v>
      </x:c>
      <x:c r="D34" s="43" t="n">
        <x:v>180</x:v>
      </x:c>
      <x:c r="E34" s="44" t="str">
        <x:v>Simplifier</x:v>
      </x:c>
      <x:c r="F34" s="44" t="n">
        <x:v>0</x:v>
      </x:c>
      <x:c r="G34" s="44" t="n">
        <x:v>60</x:v>
      </x:c>
      <x:c r="H34" s="44" t="n">
        <x:v>120</x:v>
      </x:c>
      <x:c r="I34" s="44" t="n">
        <x:v>0</x:v>
      </x:c>
      <x:c r="J34" s="44" t="n">
        <x:v>60</x:v>
      </x:c>
      <x:c r="K34" s="36" t="str">
        <x:v>Connecteurs repérés, codés et regroupés</x:v>
      </x:c>
      <x:c r="L34" s="36" t="str">
        <x:v>Maintenance</x:v>
      </x:c>
      <x:c r="M34" s="36" t="str">
        <x:v>Reconstruction à valider</x:v>
      </x:c>
      <x:c r="N34" s="39" t="str">
        <x:v>Réduire les gestes, recherches et réglages sans supprimer le contrôle.</x:v>
      </x:c>
    </x:row>
    <x:row r="35" ht="42" customHeight="1">
      <x:c r="A35" s="25" t="str">
        <x:v>SMED-09</x:v>
      </x:c>
      <x:c r="B35" s="36" t="str">
        <x:v>Vérifier les réglages et la conformité du montage</x:v>
      </x:c>
      <x:c r="C35" s="21" t="str">
        <x:v>Interne reconstruit</x:v>
      </x:c>
      <x:c r="D35" s="43" t="n">
        <x:v>180</x:v>
      </x:c>
      <x:c r="E35" s="44" t="str">
        <x:v>Simplifier</x:v>
      </x:c>
      <x:c r="F35" s="44" t="n">
        <x:v>0</x:v>
      </x:c>
      <x:c r="G35" s="44" t="n">
        <x:v>100</x:v>
      </x:c>
      <x:c r="H35" s="44" t="n">
        <x:v>80</x:v>
      </x:c>
      <x:c r="I35" s="44" t="n">
        <x:v>0</x:v>
      </x:c>
      <x:c r="J35" s="44" t="n">
        <x:v>100</x:v>
      </x:c>
      <x:c r="K35" s="36" t="str">
        <x:v>Checklist courte avec valeurs nominales et contrôle visuel</x:v>
      </x:c>
      <x:c r="L35" s="36" t="str">
        <x:v>Qualité</x:v>
      </x:c>
      <x:c r="M35" s="36" t="str">
        <x:v>Reconstruction à valider</x:v>
      </x:c>
      <x:c r="N35" s="39" t="str">
        <x:v>Réduire les gestes, recherches et réglages sans supprimer le contrôle.</x:v>
      </x:c>
    </x:row>
    <x:row r="36" ht="42" customHeight="1">
      <x:c r="A36" s="27" t="str">
        <x:v>SMED-10</x:v>
      </x:c>
      <x:c r="B36" s="37" t="str">
        <x:v>Tester la première pièce et libérer la série</x:v>
      </x:c>
      <x:c r="C36" s="28" t="str">
        <x:v>Interne reconstruit</x:v>
      </x:c>
      <x:c r="D36" s="45" t="n">
        <x:v>120</x:v>
      </x:c>
      <x:c r="E36" s="46" t="str">
        <x:v>Standardiser</x:v>
      </x:c>
      <x:c r="F36" s="46" t="n">
        <x:v>0</x:v>
      </x:c>
      <x:c r="G36" s="46" t="n">
        <x:v>40</x:v>
      </x:c>
      <x:c r="H36" s="46" t="n">
        <x:v>80</x:v>
      </x:c>
      <x:c r="I36" s="46" t="n">
        <x:v>0</x:v>
      </x:c>
      <x:c r="J36" s="46" t="n">
        <x:v>40</x:v>
      </x:c>
      <x:c r="K36" s="37" t="str">
        <x:v>Plan premier article standard et critères PASS explicites</x:v>
      </x:c>
      <x:c r="L36" s="37" t="str">
        <x:v>Qualité</x:v>
      </x:c>
      <x:c r="M36" s="37" t="str">
        <x:v>Reconstruction à valider</x:v>
      </x:c>
      <x:c r="N36" s="40" t="str">
        <x:v>Séquence et critères explicites pour éviter les répétitions.</x:v>
      </x:c>
    </x:row>
    <x:row r="37">
      <x:c r="A37" s="2"/>
      <x:c r="B37" s="2"/>
      <x:c r="C37" s="2"/>
      <x:c r="D37" s="2"/>
      <x:c r="E37" s="2"/>
      <x:c r="F37" s="2"/>
      <x:c r="G37" s="2"/>
      <x:c r="H37" s="2"/>
      <x:c r="I37" s="2"/>
      <x:c r="J37" s="2"/>
      <x:c r="K37" s="2"/>
      <x:c r="L37" s="2"/>
      <x:c r="M37" s="2"/>
      <x:c r="N37" s="2"/>
    </x:row>
    <x:row r="38">
      <x:c r="A38" s="2"/>
      <x:c r="B38" s="2"/>
      <x:c r="C38" s="2"/>
      <x:c r="D38" s="2"/>
      <x:c r="E38" s="2"/>
      <x:c r="F38" s="2"/>
      <x:c r="G38" s="2"/>
      <x:c r="H38" s="2"/>
      <x:c r="I38" s="2"/>
      <x:c r="J38" s="2"/>
      <x:c r="K38" s="2"/>
      <x:c r="L38" s="2"/>
      <x:c r="M38" s="2"/>
      <x:c r="N38" s="2"/>
    </x:row>
    <x:row r="39" ht="24" customHeight="1">
      <x:c r="A39" s="9" t="str">
        <x:v>4. Limites et règles de décision</x:v>
      </x:c>
      <x:c r="B39" s="9"/>
      <x:c r="C39" s="9"/>
      <x:c r="D39" s="9"/>
      <x:c r="E39" s="9"/>
      <x:c r="F39" s="9"/>
      <x:c r="G39" s="9"/>
      <x:c r="H39" s="9"/>
      <x:c r="I39" s="9"/>
      <x:c r="J39" s="9"/>
      <x:c r="K39" s="9"/>
      <x:c r="L39" s="9"/>
      <x:c r="M39" s="9"/>
      <x:c r="N39" s="9"/>
    </x:row>
    <x:row r="40" ht="27" customHeight="1">
      <x:c r="A40" s="56" t="str">
        <x:v>L1</x:v>
      </x:c>
      <x:c r="B40" s="59" t="str">
        <x:v>Les données sources prouvent 1 500 s par changement, mais ne détaillent pas les micro-tâches.</x:v>
      </x:c>
      <x:c r="C40" s="59"/>
      <x:c r="D40" s="59"/>
      <x:c r="E40" s="59"/>
      <x:c r="F40" s="59"/>
      <x:c r="G40" s="59"/>
      <x:c r="H40" s="59"/>
      <x:c r="I40" s="59"/>
      <x:c r="J40" s="59"/>
      <x:c r="K40" s="59"/>
      <x:c r="L40" s="59"/>
      <x:c r="M40" s="59"/>
      <x:c r="N40" s="60"/>
    </x:row>
    <x:row r="41" ht="27" customHeight="1">
      <x:c r="A41" s="57" t="str">
        <x:v>L2</x:v>
      </x:c>
      <x:c r="B41" s="61" t="str">
        <x:v>La séparation interne/externe ci-dessus est une reconstruction d’ingénierie calibrée sur 1 500 s; elle doit être validée sur le terrain.</x:v>
      </x:c>
      <x:c r="C41" s="61"/>
      <x:c r="D41" s="61"/>
      <x:c r="E41" s="61"/>
      <x:c r="F41" s="61"/>
      <x:c r="G41" s="61"/>
      <x:c r="H41" s="61"/>
      <x:c r="I41" s="61"/>
      <x:c r="J41" s="61"/>
      <x:c r="K41" s="61"/>
      <x:c r="L41" s="61"/>
      <x:c r="M41" s="61"/>
      <x:c r="N41" s="62"/>
    </x:row>
    <x:row r="42" ht="27" customHeight="1">
      <x:c r="A42" s="57" t="str">
        <x:v>L3</x:v>
      </x:c>
      <x:c r="B42" s="61" t="str">
        <x:v>La capacité future suppose que le temps libéré devient réellement disponible pour produire.</x:v>
      </x:c>
      <x:c r="C42" s="61"/>
      <x:c r="D42" s="61"/>
      <x:c r="E42" s="61"/>
      <x:c r="F42" s="61"/>
      <x:c r="G42" s="61"/>
      <x:c r="H42" s="61"/>
      <x:c r="I42" s="61"/>
      <x:c r="J42" s="61"/>
      <x:c r="K42" s="61"/>
      <x:c r="L42" s="61"/>
      <x:c r="M42" s="61"/>
      <x:c r="N42" s="62"/>
    </x:row>
    <x:row r="43" ht="27" customHeight="1">
      <x:c r="A43" s="57" t="str">
        <x:v>L4</x:v>
      </x:c>
      <x:c r="B43" s="61" t="str">
        <x:v>Aucun calcul de coût ou de ROI n’est figé au J14; il est réservé à l’analyse économique ultérieure.</x:v>
      </x:c>
      <x:c r="C43" s="61"/>
      <x:c r="D43" s="61"/>
      <x:c r="E43" s="61"/>
      <x:c r="F43" s="61"/>
      <x:c r="G43" s="61"/>
      <x:c r="H43" s="61"/>
      <x:c r="I43" s="61"/>
      <x:c r="J43" s="61"/>
      <x:c r="K43" s="61"/>
      <x:c r="L43" s="61"/>
      <x:c r="M43" s="61"/>
      <x:c r="N43" s="62"/>
    </x:row>
    <x:row r="44" ht="27" customHeight="1">
      <x:c r="A44" s="58" t="str">
        <x:v>Règle</x:v>
      </x:c>
      <x:c r="B44" s="63" t="str">
        <x:v>La cible de 750 s est la somme des durées internes résiduelles après actions; elle n’a pas été fixée avant l’analyse.</x:v>
      </x:c>
      <x:c r="C44" s="63"/>
      <x:c r="D44" s="63"/>
      <x:c r="E44" s="63"/>
      <x:c r="F44" s="63"/>
      <x:c r="G44" s="63"/>
      <x:c r="H44" s="63"/>
      <x:c r="I44" s="63"/>
      <x:c r="J44" s="63"/>
      <x:c r="K44" s="63"/>
      <x:c r="L44" s="63"/>
      <x:c r="M44" s="63"/>
      <x:c r="N44" s="64"/>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ht="24" customHeight="1">
      <x:c r="A47" s="9" t="str">
        <x:v>5. Fichiers sources et empreintes</x:v>
      </x:c>
      <x:c r="B47" s="9"/>
      <x:c r="C47" s="9"/>
      <x:c r="D47" s="9"/>
      <x:c r="E47" s="9"/>
      <x:c r="F47" s="9"/>
      <x:c r="G47" s="9"/>
      <x:c r="H47" s="9"/>
      <x:c r="I47" s="9"/>
      <x:c r="J47" s="9"/>
      <x:c r="K47" s="9"/>
      <x:c r="L47" s="9"/>
      <x:c r="M47" s="9"/>
      <x:c r="N47" s="9"/>
    </x:row>
    <x:row r="48">
      <x:c r="A48" s="18" t="str">
        <x:v>Fichier</x:v>
      </x:c>
      <x:c r="B48" s="19" t="str">
        <x:v>Empreinte SHA-256</x:v>
      </x:c>
      <x:c r="C48" s="20" t="str">
        <x:v>Usage</x:v>
      </x:c>
      <x:c r="D48" s="2"/>
      <x:c r="E48" s="2"/>
      <x:c r="F48" s="2"/>
      <x:c r="G48" s="2"/>
      <x:c r="H48" s="2"/>
      <x:c r="I48" s="2"/>
      <x:c r="J48" s="2"/>
      <x:c r="K48" s="2"/>
      <x:c r="L48" s="2"/>
      <x:c r="M48" s="2"/>
      <x:c r="N48" s="2"/>
    </x:row>
    <x:row r="49">
      <x:c r="A49" s="65" t="str">
        <x:v>changeovers.csv</x:v>
      </x:c>
      <x:c r="B49" s="35" t="str">
        <x:v>d8c34be6f13b2ad72bea9640ca6bf0ab5787dd1b3603f88211531d315e5361a1</x:v>
      </x:c>
      <x:c r="C49" s="38" t="str">
        <x:v>Événements observés de changement de série</x:v>
      </x:c>
      <x:c r="D49" s="2"/>
      <x:c r="E49" s="2"/>
      <x:c r="F49" s="2"/>
      <x:c r="G49" s="2"/>
      <x:c r="H49" s="2"/>
      <x:c r="I49" s="2"/>
      <x:c r="J49" s="2"/>
      <x:c r="K49" s="2"/>
      <x:c r="L49" s="2"/>
      <x:c r="M49" s="2"/>
      <x:c r="N49" s="2"/>
    </x:row>
    <x:row r="50">
      <x:c r="A50" s="66" t="str">
        <x:v>validation_summary.json</x:v>
      </x:c>
      <x:c r="B50" s="36" t="str">
        <x:v>8b5ca71730f86aaba187b63d260688c6c847f83e2292dec89b4ae8b2d7330541</x:v>
      </x:c>
      <x:c r="C50" s="39" t="str">
        <x:v>Contrôles qualité des données</x:v>
      </x:c>
      <x:c r="D50" s="2"/>
      <x:c r="E50" s="2"/>
      <x:c r="F50" s="2"/>
      <x:c r="G50" s="2"/>
      <x:c r="H50" s="2"/>
      <x:c r="I50" s="2"/>
      <x:c r="J50" s="2"/>
      <x:c r="K50" s="2"/>
      <x:c r="L50" s="2"/>
      <x:c r="M50" s="2"/>
      <x:c r="N50" s="2"/>
    </x:row>
    <x:row r="51">
      <x:c r="A51" s="66" t="str">
        <x:v>bottleneck_metrics.json</x:v>
      </x:c>
      <x:c r="B51" s="36" t="str">
        <x:v>7b4e79ad2d5ec156b90b6391c77dfef47a1bb8670acad7cb33be7b97eadbfe5f</x:v>
      </x:c>
      <x:c r="C51" s="39" t="str">
        <x:v>Goulot et capacité ST50</x:v>
      </x:c>
      <x:c r="D51" s="2"/>
      <x:c r="E51" s="2"/>
      <x:c r="F51" s="2"/>
      <x:c r="G51" s="2"/>
      <x:c r="H51" s="2"/>
      <x:c r="I51" s="2"/>
      <x:c r="J51" s="2"/>
      <x:c r="K51" s="2"/>
      <x:c r="L51" s="2"/>
      <x:c r="M51" s="2"/>
      <x:c r="N51" s="2"/>
    </x:row>
    <x:row r="52">
      <x:c r="A52" s="66" t="str">
        <x:v>oee_metrics.json</x:v>
      </x:c>
      <x:c r="B52" s="36" t="str">
        <x:v>1461ad96d7c041b38b94abb25ae84ae5fcb7f90db4d14d5f9d7e9e1ec48a0bda</x:v>
      </x:c>
      <x:c r="C52" s="39" t="str">
        <x:v>Disponibilité et pertes ST50</x:v>
      </x:c>
      <x:c r="D52" s="2"/>
      <x:c r="E52" s="2"/>
      <x:c r="F52" s="2"/>
      <x:c r="G52" s="2"/>
      <x:c r="H52" s="2"/>
      <x:c r="I52" s="2"/>
      <x:c r="J52" s="2"/>
      <x:c r="K52" s="2"/>
      <x:c r="L52" s="2"/>
      <x:c r="M52" s="2"/>
      <x:c r="N52" s="2"/>
    </x:row>
    <x:row r="53">
      <x:c r="A53" s="66" t="str">
        <x:v>current_state_vsm_metrics.json</x:v>
      </x:c>
      <x:c r="B53" s="36" t="str">
        <x:v>135c70af5a6a240b5ff011c1756eaa6a3a9b15110c5bbc191bd66cee2dbf2f4c</x:v>
      </x:c>
      <x:c r="C53" s="39" t="str">
        <x:v>Charge effective et takt</x:v>
      </x:c>
      <x:c r="D53" s="2"/>
      <x:c r="E53" s="2"/>
      <x:c r="F53" s="2"/>
      <x:c r="G53" s="2"/>
      <x:c r="H53" s="2"/>
      <x:c r="I53" s="2"/>
      <x:c r="J53" s="2"/>
      <x:c r="K53" s="2"/>
      <x:c r="L53" s="2"/>
      <x:c r="M53" s="2"/>
      <x:c r="N53" s="2"/>
    </x:row>
    <x:row r="54">
      <x:c r="A54" s="67" t="str">
        <x:v>root_cause_metrics.json</x:v>
      </x:c>
      <x:c r="B54" s="37" t="str">
        <x:v>34e1e6478580db8e78fd869c598399d40b56e331f7e8927a2c7f099adec70db6</x:v>
      </x:c>
      <x:c r="C54" s="40" t="str">
        <x:v>Cause dominante et continuité J13</x:v>
      </x:c>
      <x:c r="D54" s="2"/>
      <x:c r="E54" s="2"/>
      <x:c r="F54" s="2"/>
      <x:c r="G54" s="2"/>
      <x:c r="H54" s="2"/>
      <x:c r="I54" s="2"/>
      <x:c r="J54" s="2"/>
      <x:c r="K54" s="2"/>
      <x:c r="L54" s="2"/>
      <x:c r="M54" s="2"/>
      <x:c r="N54" s="2"/>
    </x:row>
    <x:row r="55">
      <x:c r="A55" s="2"/>
      <x:c r="B55" s="2"/>
      <x:c r="C55" s="2"/>
      <x:c r="D55" s="2"/>
      <x:c r="E55" s="2"/>
      <x:c r="F55" s="2"/>
      <x:c r="G55" s="2"/>
      <x:c r="H55" s="2"/>
      <x:c r="I55" s="2"/>
      <x:c r="J55" s="2"/>
      <x:c r="K55" s="2"/>
      <x:c r="L55" s="2"/>
      <x:c r="M55" s="2"/>
      <x:c r="N55" s="2"/>
    </x:row>
    <x:row r="56">
      <x:c r="A56" s="2"/>
      <x:c r="B56" s="2"/>
      <x:c r="C56" s="2"/>
      <x:c r="D56" s="2"/>
      <x:c r="E56" s="2"/>
      <x:c r="F56" s="2"/>
      <x:c r="G56" s="2"/>
      <x:c r="H56" s="2"/>
      <x:c r="I56" s="2"/>
      <x:c r="J56" s="2"/>
      <x:c r="K56" s="2"/>
      <x:c r="L56" s="2"/>
      <x:c r="M56" s="2"/>
      <x:c r="N56" s="2"/>
    </x:row>
    <x:row r="57">
      <x:c r="A57" s="2"/>
      <x:c r="B57" s="2"/>
      <x:c r="C57" s="2"/>
      <x:c r="D57" s="2"/>
      <x:c r="E57" s="2"/>
      <x:c r="F57" s="2"/>
      <x:c r="G57" s="2"/>
      <x:c r="H57" s="2"/>
      <x:c r="I57" s="2"/>
      <x:c r="J57" s="2"/>
      <x:c r="K57" s="2"/>
      <x:c r="L57" s="2"/>
      <x:c r="M57" s="2"/>
      <x:c r="N57" s="2"/>
    </x:row>
    <x:row r="58">
      <x:c r="A58" s="2"/>
      <x:c r="B58" s="2"/>
      <x:c r="C58" s="2"/>
      <x:c r="D58" s="2"/>
      <x:c r="E58" s="2"/>
      <x:c r="F58" s="2"/>
      <x:c r="G58" s="2"/>
      <x:c r="H58" s="2"/>
      <x:c r="I58" s="2"/>
      <x:c r="J58" s="2"/>
      <x:c r="K58" s="2"/>
      <x:c r="L58" s="2"/>
      <x:c r="M58" s="2"/>
      <x:c r="N58" s="2"/>
    </x:row>
    <x:row r="59">
      <x:c r="A59" s="2"/>
      <x:c r="B59" s="2"/>
      <x:c r="C59" s="2"/>
      <x:c r="D59" s="2"/>
      <x:c r="E59" s="2"/>
      <x:c r="F59" s="2"/>
      <x:c r="G59" s="2"/>
      <x:c r="H59" s="2"/>
      <x:c r="I59" s="2"/>
      <x:c r="J59" s="2"/>
      <x:c r="K59" s="2"/>
      <x:c r="L59" s="2"/>
      <x:c r="M59" s="2"/>
      <x:c r="N59" s="2"/>
    </x:row>
    <x:row r="60">
      <x:c r="A60" s="2"/>
      <x:c r="B60" s="2"/>
      <x:c r="C60" s="2"/>
      <x:c r="D60" s="2"/>
      <x:c r="E60" s="2"/>
      <x:c r="F60" s="2"/>
      <x:c r="G60" s="2"/>
      <x:c r="H60" s="2"/>
      <x:c r="I60" s="2"/>
      <x:c r="J60" s="2"/>
      <x:c r="K60" s="2"/>
      <x:c r="L60" s="2"/>
      <x:c r="M60" s="2"/>
      <x:c r="N60" s="2"/>
    </x:row>
    <x:row r="61">
      <x:c r="A61" s="2"/>
      <x:c r="B61" s="2"/>
      <x:c r="C61" s="2"/>
      <x:c r="D61" s="2"/>
      <x:c r="E61" s="2"/>
      <x:c r="F61" s="2"/>
      <x:c r="G61" s="2"/>
      <x:c r="H61" s="2"/>
      <x:c r="I61" s="2"/>
      <x:c r="J61" s="2"/>
      <x:c r="K61" s="2"/>
      <x:c r="L61" s="2"/>
      <x:c r="M61" s="2"/>
      <x:c r="N61" s="2"/>
    </x:row>
    <x:row r="62">
      <x:c r="A62" s="2"/>
      <x:c r="B62" s="2"/>
      <x:c r="C62" s="2"/>
      <x:c r="D62" s="2"/>
      <x:c r="E62" s="2"/>
      <x:c r="F62" s="2"/>
      <x:c r="G62" s="2"/>
      <x:c r="H62" s="2"/>
      <x:c r="I62" s="2"/>
      <x:c r="J62" s="2"/>
      <x:c r="K62" s="2"/>
      <x:c r="L62" s="2"/>
      <x:c r="M62" s="2"/>
      <x:c r="N62" s="2"/>
    </x:row>
    <x:row r="63">
      <x:c r="A63" s="2"/>
      <x:c r="B63" s="2"/>
      <x:c r="C63" s="2"/>
      <x:c r="D63" s="2"/>
      <x:c r="E63" s="2"/>
      <x:c r="F63" s="2"/>
      <x:c r="G63" s="2"/>
      <x:c r="H63" s="2"/>
      <x:c r="I63" s="2"/>
      <x:c r="J63" s="2"/>
      <x:c r="K63" s="2"/>
      <x:c r="L63" s="2"/>
      <x:c r="M63" s="2"/>
      <x:c r="N63" s="2"/>
    </x:row>
    <x:row r="64">
      <x:c r="A64" s="2"/>
      <x:c r="B64" s="2"/>
      <x:c r="C64" s="2"/>
      <x:c r="D64" s="2"/>
      <x:c r="E64" s="2"/>
      <x:c r="F64" s="2"/>
      <x:c r="G64" s="2"/>
      <x:c r="H64" s="2"/>
      <x:c r="I64" s="2"/>
      <x:c r="J64" s="2"/>
      <x:c r="K64" s="2"/>
      <x:c r="L64" s="2"/>
      <x:c r="M64" s="2"/>
      <x:c r="N64" s="2"/>
    </x:row>
    <x:row r="65">
      <x:c r="A65" s="2"/>
      <x:c r="B65" s="2"/>
      <x:c r="C65" s="2"/>
      <x:c r="D65" s="2"/>
      <x:c r="E65" s="2"/>
      <x:c r="F65" s="2"/>
      <x:c r="G65" s="2"/>
      <x:c r="H65" s="2"/>
      <x:c r="I65" s="2"/>
      <x:c r="J65" s="2"/>
      <x:c r="K65" s="2"/>
      <x:c r="L65" s="2"/>
      <x:c r="M65" s="2"/>
      <x:c r="N65" s="2"/>
    </x:row>
    <x:row r="66">
      <x:c r="A66" s="2"/>
      <x:c r="B66" s="2"/>
      <x:c r="C66" s="2"/>
      <x:c r="D66" s="2"/>
      <x:c r="E66" s="2"/>
      <x:c r="F66" s="2"/>
      <x:c r="G66" s="2"/>
      <x:c r="H66" s="2"/>
      <x:c r="I66" s="2"/>
      <x:c r="J66" s="2"/>
      <x:c r="K66" s="2"/>
      <x:c r="L66" s="2"/>
      <x:c r="M66" s="2"/>
      <x:c r="N66" s="2"/>
    </x:row>
    <x:row r="67">
      <x:c r="A67" s="2"/>
      <x:c r="B67" s="2"/>
      <x:c r="C67" s="2"/>
      <x:c r="D67" s="2"/>
      <x:c r="E67" s="2"/>
      <x:c r="F67" s="2"/>
      <x:c r="G67" s="2"/>
      <x:c r="H67" s="2"/>
      <x:c r="I67" s="2"/>
      <x:c r="J67" s="2"/>
      <x:c r="K67" s="2"/>
      <x:c r="L67" s="2"/>
      <x:c r="M67" s="2"/>
      <x:c r="N67" s="2"/>
    </x:row>
    <x:row r="68">
      <x:c r="A68" s="2"/>
      <x:c r="B68" s="2"/>
      <x:c r="C68" s="2"/>
      <x:c r="D68" s="2"/>
      <x:c r="E68" s="2"/>
      <x:c r="F68" s="2"/>
      <x:c r="G68" s="2"/>
      <x:c r="H68" s="2"/>
      <x:c r="I68" s="2"/>
      <x:c r="J68" s="2"/>
      <x:c r="K68" s="2"/>
      <x:c r="L68" s="2"/>
      <x:c r="M68" s="2"/>
      <x:c r="N68" s="2"/>
    </x:row>
    <x:row r="69">
      <x:c r="A69" s="2"/>
      <x:c r="B69" s="2"/>
      <x:c r="C69" s="2"/>
      <x:c r="D69" s="2"/>
      <x:c r="E69" s="2"/>
      <x:c r="F69" s="2"/>
      <x:c r="G69" s="2"/>
      <x:c r="H69" s="2"/>
      <x:c r="I69" s="2"/>
      <x:c r="J69" s="2"/>
      <x:c r="K69" s="2"/>
      <x:c r="L69" s="2"/>
      <x:c r="M69" s="2"/>
      <x:c r="N69" s="2"/>
    </x:row>
    <x:row r="70">
      <x:c r="A70" s="2"/>
      <x:c r="B70" s="2"/>
      <x:c r="C70" s="2"/>
      <x:c r="D70" s="2"/>
      <x:c r="E70" s="2"/>
      <x:c r="F70" s="2"/>
      <x:c r="G70" s="2"/>
      <x:c r="H70" s="2"/>
      <x:c r="I70" s="2"/>
      <x:c r="J70" s="2"/>
      <x:c r="K70" s="2"/>
      <x:c r="L70" s="2"/>
      <x:c r="M70" s="2"/>
      <x:c r="N70" s="2"/>
    </x:row>
    <x:row r="71">
      <x:c r="A71" s="2"/>
      <x:c r="B71" s="2"/>
      <x:c r="C71" s="2"/>
      <x:c r="D71" s="2"/>
      <x:c r="E71" s="2"/>
      <x:c r="F71" s="2"/>
      <x:c r="G71" s="2"/>
      <x:c r="H71" s="2"/>
      <x:c r="I71" s="2"/>
      <x:c r="J71" s="2"/>
      <x:c r="K71" s="2"/>
      <x:c r="L71" s="2"/>
      <x:c r="M71" s="2"/>
      <x:c r="N71" s="2"/>
    </x:row>
    <x:row r="72">
      <x:c r="A72" s="2"/>
      <x:c r="B72" s="2"/>
      <x:c r="C72" s="2"/>
      <x:c r="D72" s="2"/>
      <x:c r="E72" s="2"/>
      <x:c r="F72" s="2"/>
      <x:c r="G72" s="2"/>
      <x:c r="H72" s="2"/>
      <x:c r="I72" s="2"/>
      <x:c r="J72" s="2"/>
      <x:c r="K72" s="2"/>
      <x:c r="L72" s="2"/>
      <x:c r="M72" s="2"/>
      <x:c r="N72" s="2"/>
    </x:row>
    <x:row r="73">
      <x:c r="A73" s="2"/>
      <x:c r="B73" s="2"/>
      <x:c r="C73" s="2"/>
      <x:c r="D73" s="2"/>
      <x:c r="E73" s="2"/>
      <x:c r="F73" s="2"/>
      <x:c r="G73" s="2"/>
      <x:c r="H73" s="2"/>
      <x:c r="I73" s="2"/>
      <x:c r="J73" s="2"/>
      <x:c r="K73" s="2"/>
      <x:c r="L73" s="2"/>
      <x:c r="M73" s="2"/>
      <x:c r="N73" s="2"/>
    </x:row>
    <x:row r="74">
      <x:c r="A74" s="2"/>
      <x:c r="B74" s="2"/>
      <x:c r="C74" s="2"/>
      <x:c r="D74" s="2"/>
      <x:c r="E74" s="2"/>
      <x:c r="F74" s="2"/>
      <x:c r="G74" s="2"/>
      <x:c r="H74" s="2"/>
      <x:c r="I74" s="2"/>
      <x:c r="J74" s="2"/>
      <x:c r="K74" s="2"/>
      <x:c r="L74" s="2"/>
      <x:c r="M74" s="2"/>
      <x:c r="N74" s="2"/>
    </x:row>
    <x:row r="75">
      <x:c r="A75" s="2"/>
      <x:c r="B75" s="2"/>
      <x:c r="C75" s="2"/>
      <x:c r="D75" s="2"/>
      <x:c r="E75" s="2"/>
      <x:c r="F75" s="2"/>
      <x:c r="G75" s="2"/>
      <x:c r="H75" s="2"/>
      <x:c r="I75" s="2"/>
      <x:c r="J75" s="2"/>
      <x:c r="K75" s="2"/>
      <x:c r="L75" s="2"/>
      <x:c r="M75" s="2"/>
      <x:c r="N75" s="2"/>
    </x:row>
    <x:row r="76">
      <x:c r="A76" s="2"/>
      <x:c r="B76" s="2"/>
      <x:c r="C76" s="2"/>
      <x:c r="D76" s="2"/>
      <x:c r="E76" s="2"/>
      <x:c r="F76" s="2"/>
      <x:c r="G76" s="2"/>
      <x:c r="H76" s="2"/>
      <x:c r="I76" s="2"/>
      <x:c r="J76" s="2"/>
      <x:c r="K76" s="2"/>
      <x:c r="L76" s="2"/>
      <x:c r="M76" s="2"/>
      <x:c r="N76" s="2"/>
    </x:row>
    <x:row r="77">
      <x:c r="A77" s="2"/>
      <x:c r="B77" s="2"/>
      <x:c r="C77" s="2"/>
      <x:c r="D77" s="2"/>
      <x:c r="E77" s="2"/>
      <x:c r="F77" s="2"/>
      <x:c r="G77" s="2"/>
      <x:c r="H77" s="2"/>
      <x:c r="I77" s="2"/>
      <x:c r="J77" s="2"/>
      <x:c r="K77" s="2"/>
      <x:c r="L77" s="2"/>
      <x:c r="M77" s="2"/>
      <x:c r="N77" s="2"/>
    </x:row>
    <x:row r="78">
      <x:c r="A78" s="2"/>
      <x:c r="B78" s="2"/>
      <x:c r="C78" s="2"/>
      <x:c r="D78" s="2"/>
      <x:c r="E78" s="2"/>
      <x:c r="F78" s="2"/>
      <x:c r="G78" s="2"/>
      <x:c r="H78" s="2"/>
      <x:c r="I78" s="2"/>
      <x:c r="J78" s="2"/>
      <x:c r="K78" s="2"/>
      <x:c r="L78" s="2"/>
      <x:c r="M78" s="2"/>
      <x:c r="N78" s="2"/>
    </x:row>
    <x:row r="79">
      <x:c r="A79" s="2"/>
      <x:c r="B79" s="2"/>
      <x:c r="C79" s="2"/>
      <x:c r="D79" s="2"/>
      <x:c r="E79" s="2"/>
      <x:c r="F79" s="2"/>
      <x:c r="G79" s="2"/>
      <x:c r="H79" s="2"/>
      <x:c r="I79" s="2"/>
      <x:c r="J79" s="2"/>
      <x:c r="K79" s="2"/>
      <x:c r="L79" s="2"/>
      <x:c r="M79" s="2"/>
      <x:c r="N79" s="2"/>
    </x:row>
    <x:row r="80">
      <x:c r="A80" s="2"/>
      <x:c r="B80" s="2"/>
      <x:c r="C80" s="2"/>
      <x:c r="D80" s="2"/>
      <x:c r="E80" s="2"/>
      <x:c r="F80" s="2"/>
      <x:c r="G80" s="2"/>
      <x:c r="H80" s="2"/>
      <x:c r="I80" s="2"/>
      <x:c r="J80" s="2"/>
      <x:c r="K80" s="2"/>
      <x:c r="L80" s="2"/>
      <x:c r="M80" s="2"/>
      <x:c r="N80" s="2"/>
    </x:row>
  </x:sheetData>
  <x:mergeCells>
    <x:mergeCell ref="A2:N2"/>
    <x:mergeCell ref="A4:N4"/>
    <x:mergeCell ref="A6:D6"/>
    <x:mergeCell ref="F6:I6"/>
    <x:mergeCell ref="A25:N25"/>
    <x:mergeCell ref="A39:N39"/>
    <x:mergeCell ref="B40:N40"/>
    <x:mergeCell ref="B41:N41"/>
    <x:mergeCell ref="B42:N42"/>
    <x:mergeCell ref="B43:N43"/>
    <x:mergeCell ref="B44:N44"/>
    <x:mergeCell ref="A47:N47"/>
  </x:mergeCells>
  <x:pageMargins left="0.7" right="0.7" top="0.75" bottom="0.75" header="0.3" footer="0.3"/>
</x:worksheet>
</file>