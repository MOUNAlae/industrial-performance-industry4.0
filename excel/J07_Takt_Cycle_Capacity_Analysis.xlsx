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bd6a9a43f949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ynthèse" sheetId="1" r:id="R55d89026903c4e10"/>
    <x:sheet xmlns:r="http://schemas.openxmlformats.org/officeDocument/2006/relationships" name="Calculs" sheetId="2" r:id="R18e19dc37ccd4a94"/>
    <x:sheet xmlns:r="http://schemas.openxmlformats.org/officeDocument/2006/relationships" name="Sources" sheetId="3" r:id="Ra63adc3e0ae640d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.0"/>
    <x:numFmt numFmtId="201" formatCode="#,##0"/>
    <x:numFmt numFmtId="202" formatCode="0.0"/>
    <x:numFmt numFmtId="203" formatCode="0.0%"/>
    <x:numFmt numFmtId="204" formatCode="0"/>
  </x:numFmts>
  <x:fonts count="15">
    <x:font>
      <x:sz val="11"/>
      <x:name val="Carlito"/>
    </x:font>
    <x:font>
      <x:b/>
      <x:sz val="15"/>
      <x:color rgb="FF0A1F33"/>
      <x:name val="Arial"/>
    </x:font>
    <x:font>
      <x:i/>
      <x:sz val="9"/>
      <x:color rgb="FF64748B"/>
      <x:name val="Arial"/>
    </x:font>
    <x:font>
      <x:b/>
      <x:sz val="10"/>
      <x:color rgb="FFFFFFFF"/>
      <x:name val="Arial"/>
    </x:font>
    <x:font>
      <x:sz val="10"/>
      <x:color rgb="FF16202A"/>
      <x:name val="Arial"/>
    </x:font>
    <x:font>
      <x:b/>
      <x:sz val="10"/>
      <x:color rgb="FF16202A"/>
      <x:name val="Arial"/>
    </x:font>
    <x:font>
      <x:b/>
      <x:sz val="10"/>
      <x:color rgb="FF26734D"/>
      <x:name val="Arial"/>
    </x:font>
    <x:font>
      <x:b/>
      <x:sz val="11"/>
      <x:color rgb="FF0A1F33"/>
      <x:name val="Arial"/>
    </x:font>
    <x:font>
      <x:b/>
      <x:sz val="10"/>
      <x:color rgb="FF0A1F33"/>
      <x:name val="Arial"/>
    </x:font>
    <x:font>
      <x:sz val="9"/>
      <x:color rgb="FF16202A"/>
      <x:name val="Arial"/>
    </x:font>
    <x:font>
      <x:b/>
      <x:sz val="9"/>
      <x:color rgb="FF16202A"/>
      <x:name val="Arial"/>
    </x:font>
    <x:font>
      <x:b/>
      <x:sz val="16"/>
      <x:color rgb="FF0A1F33"/>
      <x:name val="Arial"/>
    </x:font>
    <x:font>
      <x:b/>
      <x:sz val="9"/>
      <x:color rgb="FF0A1F33"/>
      <x:name val="Arial"/>
    </x:font>
    <x:font>
      <x:b/>
      <x:sz val="12"/>
      <x:color rgb="FF16202A"/>
      <x:name val="Arial"/>
    </x:font>
    <x:font>
      <x:b/>
      <x:sz val="12"/>
      <x:color rgb="FFC0392B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0A1F33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F4F7FA"/>
      </x:patternFill>
    </x:fill>
    <x:fill>
      <x:patternFill patternType="solid">
        <x:fgColor rgb="FFEAF3FF"/>
      </x:patternFill>
    </x:fill>
  </x:fills>
  <x:borders count="21">
    <x:border/>
    <x:border>
      <x:bottom style="thin">
        <x:color rgb="FF28B8D5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C9A227"/>
      </x:left>
      <x:top style="thin">
        <x:color rgb="FFC9A227"/>
      </x:top>
    </x:border>
    <x:border>
      <x:top style="thin">
        <x:color rgb="FFC9A227"/>
      </x:top>
    </x:border>
    <x:border>
      <x:right style="thin">
        <x:color rgb="FFC9A227"/>
      </x:right>
      <x:top style="thin">
        <x:color rgb="FFC9A227"/>
      </x:top>
    </x:border>
    <x:border>
      <x:left style="thin">
        <x:color rgb="FFC9A227"/>
      </x:left>
      <x:bottom style="thin">
        <x:color rgb="FFC9A227"/>
      </x:bottom>
    </x:border>
    <x:border>
      <x:bottom style="thin">
        <x:color rgb="FFC9A227"/>
      </x:bottom>
    </x:border>
    <x:border>
      <x:right style="thin">
        <x:color rgb="FFC9A227"/>
      </x:right>
      <x:bottom style="thin">
        <x:color rgb="FFC9A227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</x:border>
    <x:border>
      <x:left style="thin">
        <x:color rgb="FFCBD5E1"/>
      </x:left>
      <x:right style="thin">
        <x:color rgb="FFCBD5E1"/>
      </x:right>
    </x:border>
    <x:border>
      <x:left style="thin">
        <x:color rgb="FFCBD5E1"/>
      </x:left>
      <x:right style="thin">
        <x:color rgb="FFCBD5E1"/>
      </x:right>
      <x:bottom style="thin">
        <x:color rgb="FFCBD5E1"/>
      </x:bottom>
    </x:border>
  </x:borders>
  <x:cellStyleXfs count="1">
    <x:xf numFmtId="0" fontId="0" fillId="0" borderId="0"/>
  </x:cellStyleXfs>
  <x:cellXfs count="106">
    <x:xf numFmtId="0" fontId="0" fillId="0" borderId="0" xfId="0"/>
    <x:xf numFmtId="0" fontId="1" fillId="0" borderId="0" xfId="0" applyNumberFormat="1" applyFont="1" applyFill="1" applyBorder="1"/>
    <x:xf numFmtId="0" fontId="0" fillId="0" borderId="1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3" xfId="0" applyNumberFormat="1" applyFont="1" applyFill="1" applyBorder="1" applyAlignment="1">
      <x:alignment vertical="center"/>
    </x:xf>
    <x:xf numFmtId="0" fontId="4" fillId="0" borderId="4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0" fontId="4" fillId="3" borderId="3" xfId="0" applyNumberFormat="1" applyFont="1" applyFill="1" applyBorder="1" applyAlignment="1">
      <x:alignment vertical="center"/>
    </x:xf>
    <x:xf numFmtId="0" fontId="4" fillId="3" borderId="4" xfId="0" applyNumberFormat="1" applyFont="1" applyFill="1" applyBorder="1" applyAlignment="1">
      <x:alignment vertical="center"/>
    </x:xf>
    <x:xf numFmtId="0" fontId="5" fillId="3" borderId="3" xfId="0" applyNumberFormat="1" applyFont="1" applyFill="1" applyBorder="1" applyAlignment="1">
      <x:alignment vertical="center"/>
    </x:xf>
    <x:xf numFmtId="0" fontId="5" fillId="3" borderId="4" xfId="0" applyNumberFormat="1" applyFont="1" applyFill="1" applyBorder="1" applyAlignment="1">
      <x:alignment vertical="center"/>
    </x:xf>
    <x:xf numFmtId="0" fontId="4" fillId="4" borderId="4" xfId="0" applyNumberFormat="1" applyFont="1" applyFill="1" applyBorder="1" applyAlignment="1">
      <x:alignment vertical="center"/>
    </x:xf>
    <x:xf numFmtId="0" fontId="6" fillId="4" borderId="4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/>
    <x:xf numFmtId="0" fontId="4" fillId="5" borderId="3" xfId="0" applyNumberFormat="1" applyFont="1" applyFill="1" applyBorder="1" applyAlignment="1">
      <x:alignment vertical="center"/>
    </x:xf>
    <x:xf numFmtId="0" fontId="4" fillId="5" borderId="4" xfId="0" applyNumberFormat="1" applyFont="1" applyFill="1" applyBorder="1" applyAlignment="1">
      <x:alignment vertical="center"/>
    </x:xf>
    <x:xf numFmtId="0" fontId="4" fillId="5" borderId="5" xfId="0" applyNumberFormat="1" applyFont="1" applyFill="1" applyBorder="1" applyAlignment="1">
      <x:alignment vertical="center"/>
    </x:xf>
    <x:xf numFmtId="200" fontId="4" fillId="5" borderId="3" xfId="0" applyNumberFormat="1" applyFont="1" applyFill="1" applyBorder="1" applyAlignment="1">
      <x:alignment vertical="center"/>
    </x:xf>
    <x:xf numFmtId="200" fontId="4" fillId="0" borderId="4" xfId="0" applyNumberFormat="1" applyFont="1" applyFill="1" applyBorder="1" applyAlignment="1">
      <x:alignment vertical="center"/>
    </x:xf>
    <x:xf numFmtId="200" fontId="4" fillId="5" borderId="4" xfId="0" applyNumberFormat="1" applyFont="1" applyFill="1" applyBorder="1" applyAlignment="1">
      <x:alignment vertical="center"/>
    </x:xf>
    <x:xf numFmtId="200" fontId="4" fillId="5" borderId="5" xfId="0" applyNumberFormat="1" applyFont="1" applyFill="1" applyBorder="1" applyAlignment="1">
      <x:alignment vertical="center"/>
    </x:xf>
    <x:xf numFmtId="201" fontId="4" fillId="5" borderId="3" xfId="0" applyNumberFormat="1" applyFont="1" applyFill="1" applyBorder="1" applyAlignment="1">
      <x:alignment vertical="center"/>
    </x:xf>
    <x:xf numFmtId="201" fontId="4" fillId="0" borderId="4" xfId="0" applyNumberFormat="1" applyFont="1" applyFill="1" applyBorder="1" applyAlignment="1">
      <x:alignment vertical="center"/>
    </x:xf>
    <x:xf numFmtId="201" fontId="4" fillId="5" borderId="4" xfId="0" applyNumberFormat="1" applyFont="1" applyFill="1" applyBorder="1" applyAlignment="1">
      <x:alignment vertical="center"/>
    </x:xf>
    <x:xf numFmtId="201" fontId="4" fillId="5" borderId="5" xfId="0" applyNumberFormat="1" applyFont="1" applyFill="1" applyBorder="1" applyAlignment="1">
      <x:alignment vertical="center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8" fillId="6" borderId="0" xfId="0" applyNumberFormat="1" applyFont="1" applyFill="1" applyBorder="1"/>
    <x:xf numFmtId="0" fontId="8" fillId="6" borderId="6" xfId="0" applyNumberFormat="1" applyFont="1" applyFill="1" applyBorder="1"/>
    <x:xf numFmtId="0" fontId="0" fillId="0" borderId="7" xfId="0" applyNumberFormat="1" applyFont="1" applyFill="1" applyBorder="1"/>
    <x:xf numFmtId="0" fontId="8" fillId="6" borderId="8" xfId="0" applyNumberFormat="1" applyFont="1" applyFill="1" applyBorder="1"/>
    <x:xf numFmtId="0" fontId="0" fillId="0" borderId="9" xfId="0" applyNumberFormat="1" applyFont="1" applyFill="1" applyBorder="1"/>
    <x:xf numFmtId="0" fontId="8" fillId="6" borderId="10" xfId="0" applyNumberFormat="1" applyFont="1" applyFill="1" applyBorder="1"/>
    <x:xf numFmtId="0" fontId="0" fillId="0" borderId="11" xfId="0" applyNumberFormat="1" applyFont="1" applyFill="1" applyBorder="1"/>
    <x:xf numFmtId="0" fontId="5" fillId="0" borderId="7" xfId="0" applyNumberFormat="1" applyFont="1" applyFill="1" applyBorder="1"/>
    <x:xf numFmtId="0" fontId="5" fillId="0" borderId="9" xfId="0" applyNumberFormat="1" applyFont="1" applyFill="1" applyBorder="1"/>
    <x:xf numFmtId="0" fontId="5" fillId="0" borderId="11" xfId="0" applyNumberFormat="1" applyFont="1" applyFill="1" applyBorder="1"/>
    <x:xf numFmtId="201" fontId="5" fillId="0" borderId="7" xfId="0" applyNumberFormat="1" applyFont="1" applyFill="1" applyBorder="1"/>
    <x:xf numFmtId="201" fontId="5" fillId="0" borderId="9" xfId="0" applyNumberFormat="1" applyFont="1" applyFill="1" applyBorder="1"/>
    <x:xf numFmtId="202" fontId="5" fillId="0" borderId="11" xfId="0" applyNumberFormat="1" applyFont="1" applyFill="1" applyBorder="1"/>
    <x:xf numFmtId="202" fontId="4" fillId="5" borderId="3" xfId="0" applyNumberFormat="1" applyFont="1" applyFill="1" applyBorder="1" applyAlignment="1">
      <x:alignment vertical="center"/>
    </x:xf>
    <x:xf numFmtId="202" fontId="4" fillId="0" borderId="4" xfId="0" applyNumberFormat="1" applyFont="1" applyFill="1" applyBorder="1" applyAlignment="1">
      <x:alignment vertical="center"/>
    </x:xf>
    <x:xf numFmtId="202" fontId="4" fillId="5" borderId="4" xfId="0" applyNumberFormat="1" applyFont="1" applyFill="1" applyBorder="1" applyAlignment="1">
      <x:alignment vertical="center"/>
    </x:xf>
    <x:xf numFmtId="202" fontId="4" fillId="5" borderId="5" xfId="0" applyNumberFormat="1" applyFont="1" applyFill="1" applyBorder="1" applyAlignment="1">
      <x:alignment vertical="center"/>
    </x:xf>
    <x:xf numFmtId="0" fontId="4" fillId="6" borderId="3" xfId="0" applyNumberFormat="1" applyFont="1" applyFill="1" applyBorder="1" applyAlignment="1">
      <x:alignment vertical="center"/>
    </x:xf>
    <x:xf numFmtId="0" fontId="4" fillId="6" borderId="4" xfId="0" applyNumberFormat="1" applyFont="1" applyFill="1" applyBorder="1" applyAlignment="1">
      <x:alignment vertical="center"/>
    </x:xf>
    <x:xf numFmtId="0" fontId="4" fillId="6" borderId="5" xfId="0" applyNumberFormat="1" applyFont="1" applyFill="1" applyBorder="1" applyAlignment="1">
      <x:alignment vertical="center"/>
    </x:xf>
    <x:xf numFmtId="0" fontId="8" fillId="6" borderId="3" xfId="0" applyNumberFormat="1" applyFont="1" applyFill="1" applyBorder="1" applyAlignment="1">
      <x:alignment vertical="center"/>
    </x:xf>
    <x:xf numFmtId="0" fontId="8" fillId="6" borderId="4" xfId="0" applyNumberFormat="1" applyFont="1" applyFill="1" applyBorder="1" applyAlignment="1">
      <x:alignment vertical="center"/>
    </x:xf>
    <x:xf numFmtId="0" fontId="8" fillId="6" borderId="5" xfId="0" applyNumberFormat="1" applyFont="1" applyFill="1" applyBorder="1" applyAlignment="1">
      <x:alignment vertical="center"/>
    </x:xf>
    <x:xf numFmtId="202" fontId="4" fillId="0" borderId="3" xfId="0" applyNumberFormat="1" applyFont="1" applyFill="1" applyBorder="1" applyAlignment="1">
      <x:alignment vertical="center"/>
    </x:xf>
    <x:xf numFmtId="203" fontId="4" fillId="0" borderId="4" xfId="0" applyNumberFormat="1" applyFont="1" applyFill="1" applyBorder="1" applyAlignment="1">
      <x:alignment vertical="center"/>
    </x:xf>
    <x:xf numFmtId="204" fontId="4" fillId="0" borderId="5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9" fillId="3" borderId="0" xfId="0" applyNumberFormat="1" applyFont="1" applyFill="1" applyBorder="1"/>
    <x:xf numFmtId="0" fontId="10" fillId="3" borderId="0" xfId="0" applyNumberFormat="1" applyFont="1" applyFill="1" applyBorder="1"/>
    <x:xf numFmtId="0" fontId="10" fillId="3" borderId="0" xfId="0" applyNumberFormat="1" applyFont="1" applyFill="1" applyBorder="1" applyAlignment="1">
      <x:alignment wrapText="1"/>
    </x:xf>
    <x:xf numFmtId="0" fontId="9" fillId="3" borderId="0" xfId="0" applyNumberFormat="1" applyFont="1" applyFill="1" applyBorder="1" applyAlignment="1">
      <x:alignment wrapText="1"/>
    </x:xf>
    <x:xf numFmtId="0" fontId="10" fillId="3" borderId="0" xfId="0" applyNumberFormat="1" applyFont="1" applyFill="1" applyBorder="1" applyAlignment="1">
      <x:alignment vertical="center" wrapText="1"/>
    </x:xf>
    <x:xf numFmtId="0" fontId="9" fillId="3" borderId="0" xfId="0" applyNumberFormat="1" applyFont="1" applyFill="1" applyBorder="1" applyAlignment="1">
      <x:alignment vertical="center" wrapText="1"/>
    </x:xf>
    <x:xf numFmtId="0" fontId="10" fillId="3" borderId="12" xfId="0" applyNumberFormat="1" applyFont="1" applyFill="1" applyBorder="1" applyAlignment="1">
      <x:alignment vertical="center" wrapText="1"/>
    </x:xf>
    <x:xf numFmtId="0" fontId="9" fillId="3" borderId="13" xfId="0" applyNumberFormat="1" applyFont="1" applyFill="1" applyBorder="1" applyAlignment="1">
      <x:alignment vertical="center" wrapText="1"/>
    </x:xf>
    <x:xf numFmtId="0" fontId="9" fillId="3" borderId="14" xfId="0" applyNumberFormat="1" applyFont="1" applyFill="1" applyBorder="1" applyAlignment="1">
      <x:alignment vertical="center" wrapText="1"/>
    </x:xf>
    <x:xf numFmtId="0" fontId="10" fillId="3" borderId="15" xfId="0" applyNumberFormat="1" applyFont="1" applyFill="1" applyBorder="1" applyAlignment="1">
      <x:alignment vertical="center" wrapText="1"/>
    </x:xf>
    <x:xf numFmtId="0" fontId="9" fillId="3" borderId="16" xfId="0" applyNumberFormat="1" applyFont="1" applyFill="1" applyBorder="1" applyAlignment="1">
      <x:alignment vertical="center" wrapText="1"/>
    </x:xf>
    <x:xf numFmtId="0" fontId="9" fillId="3" borderId="17" xfId="0" applyNumberFormat="1" applyFont="1" applyFill="1" applyBorder="1" applyAlignment="1">
      <x:alignment vertical="center" wrapText="1"/>
    </x:xf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2" borderId="18" xfId="0" applyNumberFormat="1" applyFont="1" applyFill="1" applyBorder="1"/>
    <x:xf numFmtId="0" fontId="3" fillId="2" borderId="18" xfId="0" applyNumberFormat="1" applyFont="1" applyFill="1" applyBorder="1"/>
    <x:xf numFmtId="0" fontId="0" fillId="6" borderId="19" xfId="0" applyNumberFormat="1" applyFont="1" applyFill="1" applyBorder="1"/>
    <x:xf numFmtId="0" fontId="11" fillId="6" borderId="19" xfId="0" applyNumberFormat="1" applyFont="1" applyFill="1" applyBorder="1"/>
    <x:xf numFmtId="0" fontId="11" fillId="6" borderId="19" xfId="0" applyNumberFormat="1" applyFont="1" applyFill="1" applyBorder="1" applyAlignment="1">
      <x:alignment horizontal="center"/>
    </x:xf>
    <x:xf numFmtId="0" fontId="2" fillId="0" borderId="20" xfId="0" applyNumberFormat="1" applyFont="1" applyFill="1" applyBorder="1"/>
    <x:xf numFmtId="0" fontId="2" fillId="0" borderId="20" xfId="0" applyNumberFormat="1" applyFont="1" applyFill="1" applyBorder="1" applyAlignment="1">
      <x:alignment horizontal="center"/>
    </x:xf>
    <x:xf numFmtId="201" fontId="11" fillId="6" borderId="19" xfId="0" applyNumberFormat="1" applyFont="1" applyFill="1" applyBorder="1" applyAlignment="1">
      <x:alignment horizontal="center"/>
    </x:xf>
    <x:xf numFmtId="202" fontId="11" fillId="6" borderId="19" xfId="0" applyNumberFormat="1" applyFont="1" applyFill="1" applyBorder="1" applyAlignment="1">
      <x:alignment horizontal="center"/>
    </x:xf>
    <x:xf numFmtId="202" fontId="0" fillId="0" borderId="0" xfId="0" applyNumberFormat="1" applyFont="1" applyFill="1" applyBorder="1"/>
    <x:xf numFmtId="0" fontId="12" fillId="0" borderId="0" xfId="0" applyNumberFormat="1" applyFont="1" applyFill="1" applyBorder="1"/>
    <x:xf numFmtId="0" fontId="13" fillId="0" borderId="0" xfId="0" applyNumberFormat="1" applyFont="1" applyFill="1" applyBorder="1"/>
    <x:xf numFmtId="202" fontId="13" fillId="0" borderId="0" xfId="0" applyNumberFormat="1" applyFont="1" applyFill="1" applyBorder="1"/>
    <x:xf numFmtId="204" fontId="13" fillId="0" borderId="0" xfId="0" applyNumberFormat="1" applyFont="1" applyFill="1" applyBorder="1"/>
    <x:xf numFmtId="202" fontId="14" fillId="0" borderId="0" xfId="0" applyNumberFormat="1" applyFont="1" applyFill="1" applyBorder="1"/>
    <x:xf numFmtId="0" fontId="4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vertical="center" wrapText="1"/>
    </x:xf>
    <x:xf numFmtId="0" fontId="5" fillId="3" borderId="12" xfId="0" applyNumberFormat="1" applyFont="1" applyFill="1" applyBorder="1" applyAlignment="1">
      <x:alignment vertical="center" wrapText="1"/>
    </x:xf>
    <x:xf numFmtId="0" fontId="4" fillId="3" borderId="13" xfId="0" applyNumberFormat="1" applyFont="1" applyFill="1" applyBorder="1" applyAlignment="1">
      <x:alignment vertical="center" wrapText="1"/>
    </x:xf>
    <x:xf numFmtId="0" fontId="4" fillId="3" borderId="14" xfId="0" applyNumberFormat="1" applyFont="1" applyFill="1" applyBorder="1" applyAlignment="1">
      <x:alignment vertical="center" wrapText="1"/>
    </x:xf>
    <x:xf numFmtId="0" fontId="5" fillId="3" borderId="15" xfId="0" applyNumberFormat="1" applyFont="1" applyFill="1" applyBorder="1" applyAlignment="1">
      <x:alignment vertical="center" wrapText="1"/>
    </x:xf>
    <x:xf numFmtId="0" fontId="4" fillId="3" borderId="16" xfId="0" applyNumberFormat="1" applyFont="1" applyFill="1" applyBorder="1" applyAlignment="1">
      <x:alignment vertical="center" wrapText="1"/>
    </x:xf>
    <x:xf numFmtId="0" fontId="4" fillId="3" borderId="17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ont>
        <x:b/>
        <x:color rgb="FFC0392B"/>
      </x:font>
      <x:fill>
        <x:patternFill patternType="solid">
          <x:bgColor rgb="FFFDE9E7"/>
        </x:patternFill>
      </x:fill>
    </x:dxf>
    <x:dxf>
      <x:font>
        <x:b/>
        <x:color rgb="FFC0392B"/>
      </x:font>
      <x:fill>
        <x:patternFill patternType="solid">
          <x:bgColor rgb="FFFDE9E7"/>
        </x:patternFill>
      </x:fill>
    </x:dxf>
    <x:dxf>
      <x:font>
        <x:color rgb="FF26734D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4e002c6de5430f" /><Relationship Type="http://schemas.openxmlformats.org/officeDocument/2006/relationships/theme" Target="/xl/theme/theme1.xml" Id="R77f515a5058c417a" /><Relationship Type="http://schemas.openxmlformats.org/officeDocument/2006/relationships/sharedStrings" Target="/xl/sharedStrings.xml" Id="R7a8248458b92490a" /><Relationship Type="http://schemas.openxmlformats.org/officeDocument/2006/relationships/worksheet" Target="/xl/worksheets/sheet1.xml" Id="R55d89026903c4e10" /><Relationship Type="http://schemas.openxmlformats.org/officeDocument/2006/relationships/worksheet" Target="/xl/worksheets/sheet2.xml" Id="R18e19dc37ccd4a94" /><Relationship Type="http://schemas.openxmlformats.org/officeDocument/2006/relationships/worksheet" Target="/xl/worksheets/sheet3.xml" Id="Ra63adc3e0ae640d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904c91cba30463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Cycle Time vs Takt Time (s)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CT standard (s)</c:v>
          </c:tx>
          <c:spPr>
            <a:solidFill xmlns:a="http://schemas.openxmlformats.org/drawingml/2006/main">
              <a:srgbClr val="0A1F33"/>
            </a:solidFill>
            <a:ln xmlns:a="http://schemas.openxmlformats.org/drawingml/2006/main" w="19050">
              <a:solidFill>
                <a:srgbClr val="0A1F33"/>
              </a:solidFill>
              <a:prstDash val="solid"/>
            </a:ln>
          </c:spPr>
          <c:marker>
            <c:symbol val="none"/>
          </c:marker>
          <c:cat>
            <c:strRef>
              <c:f>'Calculs'!$A$15:$A$21</c:f>
              <c:strCache>
                <c:ptCount val="0"/>
              </c:strCache>
            </c:strRef>
          </c:cat>
          <c:val>
            <c:numRef>
              <c:f>'Calculs'!$C$15:$C$21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CT net moyen (s)</c:v>
          </c:tx>
          <c:spPr>
            <a:solidFill xmlns:a="http://schemas.openxmlformats.org/drawingml/2006/main">
              <a:srgbClr val="0B63CE"/>
            </a:solidFill>
            <a:ln xmlns:a="http://schemas.openxmlformats.org/drawingml/2006/main" w="19050">
              <a:solidFill>
                <a:srgbClr val="0B63CE"/>
              </a:solidFill>
              <a:prstDash val="solid"/>
            </a:ln>
          </c:spPr>
          <c:marker>
            <c:symbol val="none"/>
          </c:marker>
          <c:cat>
            <c:strRef>
              <c:f>'Calculs'!$A$15:$A$21</c:f>
              <c:strCache>
                <c:ptCount val="0"/>
              </c:strCache>
            </c:strRef>
          </c:cat>
          <c:val>
            <c:numRef>
              <c:f>'Calculs'!$D$15:$D$21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CT écoulé moyen (s)</c:v>
          </c:tx>
          <c:spPr>
            <a:solidFill xmlns:a="http://schemas.openxmlformats.org/drawingml/2006/main">
              <a:srgbClr val="E67E22"/>
            </a:solidFill>
            <a:ln xmlns:a="http://schemas.openxmlformats.org/drawingml/2006/main" w="19050">
              <a:solidFill>
                <a:srgbClr val="E67E22"/>
              </a:solidFill>
              <a:prstDash val="solid"/>
            </a:ln>
          </c:spPr>
          <c:marker>
            <c:symbol val="none"/>
          </c:marker>
          <c:cat>
            <c:strRef>
              <c:f>'Calculs'!$A$15:$A$21</c:f>
              <c:strCache>
                <c:ptCount val="0"/>
              </c:strCache>
            </c:strRef>
          </c:cat>
          <c:val>
            <c:numRef>
              <c:f>'Calculs'!$G$15:$G$21</c:f>
              <c:numCache>
                <c:formatCode>0.0</c:formatCode>
                <c:ptCount val="0"/>
              </c:numCache>
            </c:numRef>
          </c:val>
          <c:smooth val="0"/>
        </c:ser>
        <c:ser>
          <c:idx val="3"/>
          <c:order val="3"/>
          <c:tx>
            <c:v>Takt (s)</c:v>
          </c:tx>
          <c:spPr>
            <a:solidFill xmlns:a="http://schemas.openxmlformats.org/drawingml/2006/main">
              <a:srgbClr val="C0392B"/>
            </a:solidFill>
            <a:ln xmlns:a="http://schemas.openxmlformats.org/drawingml/2006/main" w="19050">
              <a:solidFill>
                <a:srgbClr val="C0392B"/>
              </a:solidFill>
              <a:prstDash val="dash"/>
            </a:ln>
          </c:spPr>
          <c:marker>
            <c:symbol val="none"/>
          </c:marker>
          <c:cat>
            <c:strRef>
              <c:f>'Calculs'!$A$15:$A$21</c:f>
              <c:strCache>
                <c:ptCount val="0"/>
              </c:strCache>
            </c:strRef>
          </c:cat>
          <c:val>
            <c:numRef>
              <c:f>'Calculs'!$H$15:$H$21</c:f>
              <c:numCache>
                <c:formatCode>0.0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Secondes par unité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12</xdr:row>
      <xdr:rowOff>0</xdr:rowOff>
    </xdr:from>
    <xdr:to>
      <xdr:col>12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904c91cba30463a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fcef83e3df040c5" /></Relationships>
</file>

<file path=xl/worksheets/sheet1.xml><?xml version="1.0" encoding="utf-8"?>
<x:worksheet xmlns:x="http://schemas.openxmlformats.org/spreadsheetml/2006/main">
  <x:sheetPr>
    <x:tabColor rgb="FF0A1F33"/>
  </x:sheetPr>
  <x:sheetViews>
    <x:sheetView showGridLines="0" workbookViewId="0"/>
  </x:sheetViews>
  <x:sheetFormatPr defaultRowHeight="15"/>
  <x:cols>
    <x:col min="1" max="1" width="23" hidden="0" customWidth="1"/>
    <x:col min="4" max="4" width="23" hidden="0" customWidth="1"/>
    <x:col min="7" max="7" width="23" hidden="0" customWidth="1"/>
    <x:col min="10" max="10" width="23" hidden="0" customWidth="1"/>
    <x:col min="2" max="2" width="4" hidden="0" customWidth="1"/>
    <x:col min="3" max="3" width="4" hidden="0" customWidth="1"/>
    <x:col min="5" max="5" width="4" hidden="0" customWidth="1"/>
    <x:col min="6" max="6" width="4" hidden="0" customWidth="1"/>
    <x:col min="8" max="8" width="4" hidden="0" customWidth="1"/>
    <x:col min="9" max="9" width="4" hidden="0" customWidth="1"/>
    <x:col min="11" max="11" width="12" hidden="0" customWidth="1"/>
    <x:col min="12" max="12" width="12" hidden="0" customWidth="1"/>
  </x:cols>
  <x:sheetData>
    <x:row r="1" ht="22" customHeight="1"/>
    <x:row r="2" ht="22" customHeight="1">
      <x:c r="A2" s="1" t="str">
        <x:v>EMA-120 - Takt, temps de cycle et capacité théorique</x:v>
      </x:c>
    </x:row>
    <x:row r="3" ht="22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2" customHeight="1">
      <x:c r="A4" s="3" t="str">
        <x:v>Comparaison du rythme client avec les temps standards et observés sur les données processed validées.</x:v>
      </x:c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</x:row>
    <x:row r="5" ht="22" customHeight="1"/>
    <x:row r="6" ht="28" customHeight="1">
      <x:c r="A6" s="80" t="str">
        <x:v>Demande client</x:v>
      </x:c>
      <x:c r="D6" s="80" t="str">
        <x:v>Temps disponible</x:v>
      </x:c>
      <x:c r="G6" s="80" t="str">
        <x:v>Takt time</x:v>
      </x:c>
      <x:c r="J6" s="80" t="str">
        <x:v>Capacité théorique ligne</x:v>
      </x:c>
    </x:row>
    <x:row r="7" ht="34" customHeight="1">
      <x:c r="A7" s="86" t="n">
        <x:f>Calculs!B8</x:f>
        <x:v>210</x:v>
      </x:c>
      <x:c r="D7" s="86" t="n">
        <x:f>Calculs!B9</x:f>
        <x:v>52800</x:v>
      </x:c>
      <x:c r="G7" s="87" t="n">
        <x:f>Calculs!B10</x:f>
        <x:v>251.42857142857142</x:v>
      </x:c>
      <x:c r="H7" s="88"/>
      <x:c r="I7" s="88"/>
      <x:c r="J7" s="87" t="n">
        <x:f>Calculs!B25</x:f>
        <x:v>185.26315789473685</x:v>
      </x:c>
    </x:row>
    <x:row r="8" ht="22" customHeight="1">
      <x:c r="A8" s="85" t="str">
        <x:v>unités/jour</x:v>
      </x:c>
      <x:c r="D8" s="85" t="str">
        <x:v>s/jour</x:v>
      </x:c>
      <x:c r="G8" s="85" t="str">
        <x:v>s/unité</x:v>
      </x:c>
      <x:c r="J8" s="85" t="str">
        <x:v>unités/jour</x:v>
      </x:c>
    </x:row>
    <x:row r="9" ht="22" customHeight="1"/>
    <x:row r="10" ht="22" customHeight="1">
      <x:c r="A10" s="89" t="str">
        <x:v>Station limitante</x:v>
      </x:c>
      <x:c r="B10"/>
      <x:c r="C10"/>
      <x:c r="D10" s="89" t="str">
        <x:v>Écart capacité-demande</x:v>
      </x:c>
      <x:c r="E10"/>
      <x:c r="F10"/>
      <x:c r="G10" s="89" t="str">
        <x:v>Réduction minimale du CT</x:v>
      </x:c>
      <x:c r="H10"/>
      <x:c r="I10"/>
      <x:c r="J10" s="89" t="str">
        <x:v>Postes &gt; takt</x:v>
      </x:c>
      <x:c r="K10"/>
    </x:row>
    <x:row r="11" ht="22" customHeight="1">
      <x:c r="A11" s="90" t="str">
        <x:f>Calculs!B26</x:f>
        <x:v>ST50</x:v>
      </x:c>
      <x:c r="D11" s="93" t="n">
        <x:f>Calculs!B27</x:f>
        <x:v>-24.73684210526315</x:v>
      </x:c>
      <x:c r="E11" s="88"/>
      <x:c r="F11" s="88"/>
      <x:c r="G11" s="91" t="n">
        <x:f>Calculs!B29</x:f>
        <x:v>33.571428571428584</x:v>
      </x:c>
      <x:c r="J11" s="92" t="n">
        <x:f>Calculs!B30</x:f>
        <x:v>1</x:v>
      </x:c>
    </x:row>
    <x:row r="12" ht="22" customHeight="1"/>
    <x:row r="13" ht="22" customHeight="1"/>
    <x:row r="14" ht="22" customHeight="1"/>
    <x:row r="15" ht="22" customHeight="1"/>
    <x:row r="16" ht="22" customHeight="1"/>
    <x:row r="17" ht="22" customHeight="1"/>
    <x:row r="18" ht="22" customHeight="1"/>
    <x:row r="19" ht="22" customHeight="1"/>
    <x:row r="20" ht="22" customHeight="1"/>
    <x:row r="21" ht="22" customHeight="1"/>
    <x:row r="22" ht="22" customHeight="1"/>
    <x:row r="23" ht="22" customHeight="1"/>
    <x:row r="24" ht="22" customHeight="1"/>
    <x:row r="25" ht="22" customHeight="1"/>
    <x:row r="26" ht="22" customHeight="1"/>
    <x:row r="27" ht="22" customHeight="1"/>
    <x:row r="28" ht="22" customHeight="1"/>
    <x:row r="29" ht="22" customHeight="1"/>
    <x:row r="30" ht="22" customHeight="1"/>
    <x:row r="31" ht="22" customHeight="1"/>
    <x:row r="32" ht="38" customHeight="1">
      <x:c r="A32" s="100" t="str">
        <x:v>Résultat technique</x:v>
      </x:c>
      <x:c r="B32" s="101" t="str">
        <x:v>ST50 présente un CT standard de 285 s, supérieur au takt de 251,4 s. Sa capacité théorique est de 185,3 unités/jour, soit 24,7 unités/jour sous la demande.</x:v>
      </x:c>
      <x:c r="C32" s="101"/>
      <x:c r="D32" s="101"/>
      <x:c r="E32" s="101"/>
      <x:c r="F32" s="101"/>
      <x:c r="G32" s="101"/>
      <x:c r="H32" s="101"/>
      <x:c r="I32" s="101"/>
      <x:c r="J32" s="101"/>
      <x:c r="K32" s="101"/>
      <x:c r="L32" s="102"/>
    </x:row>
    <x:row r="33" ht="38" customHeight="1">
      <x:c r="A33" s="103" t="str">
        <x:v>Limite</x:v>
      </x:c>
      <x:c r="B33" s="104" t="str">
        <x:v>Ce constat est un signal théorique. Le goulot observé, les pertes et la capacité réelle seront traités aux J08 et J09.</x:v>
      </x:c>
      <x:c r="C33" s="104"/>
      <x:c r="D33" s="104"/>
      <x:c r="E33" s="104"/>
      <x:c r="F33" s="104"/>
      <x:c r="G33" s="104"/>
      <x:c r="H33" s="104"/>
      <x:c r="I33" s="104"/>
      <x:c r="J33" s="104"/>
      <x:c r="K33" s="104"/>
      <x:c r="L33" s="105"/>
    </x:row>
    <x:row r="34" ht="22" customHeight="1"/>
  </x:sheetData>
  <x:mergeCells>
    <x:mergeCell ref="B32:L32"/>
    <x:mergeCell ref="B33:L33"/>
  </x:mergeCells>
  <x:pageMargins left="0.7" right="0.7" top="0.75" bottom="0.75" header="0.3" footer="0.3"/>
  <x:drawing xmlns:r="http://schemas.openxmlformats.org/officeDocument/2006/relationships" r:id="R5fcef83e3df040c5"/>
</x:worksheet>
</file>

<file path=xl/worksheets/sheet2.xml><?xml version="1.0" encoding="utf-8"?>
<x:worksheet xmlns:x="http://schemas.openxmlformats.org/spreadsheetml/2006/main">
  <x:sheetPr>
    <x:tabColor rgb="FF4C83B6"/>
  </x:sheetPr>
  <x:sheetViews>
    <x:sheetView showGridLines="0" workbookViewId="0">
      <x:pane ySplit="14" topLeftCell="A15" activePane="bottomLeft" state="frozen"/>
    </x:sheetView>
  </x:sheetViews>
  <x:sheetFormatPr defaultRowHeight="15"/>
  <x:cols>
    <x:col min="1" max="1" width="12" hidden="0" customWidth="1"/>
    <x:col min="2" max="2" width="34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21" hidden="0" customWidth="1"/>
    <x:col min="10" max="10" width="21" hidden="0" customWidth="1"/>
    <x:col min="11" max="11" width="21" hidden="0" customWidth="1"/>
    <x:col min="12" max="12" width="24" hidden="0" customWidth="1"/>
  </x:cols>
  <x:sheetData>
    <x:row r="1" ht="21" customHeight="1"/>
    <x:row r="2" ht="21" customHeight="1">
      <x:c r="A2" s="1" t="str">
        <x:v>EMA-120 - Calculs takt, cycles et capacité</x:v>
      </x:c>
    </x:row>
    <x:row r="3" ht="21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1" customHeight="1">
      <x:c r="A4" s="3" t="str">
        <x:v>Les cellules calculées restent formulées dans Excel pour permettre l'audit des résultats.</x:v>
      </x:c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</x:row>
    <x:row r="5" ht="21" customHeight="1"/>
    <x:row r="6" ht="21" customHeight="1">
      <x:c r="A6" s="38" t="str">
        <x:v>Équipes par jour</x:v>
      </x:c>
      <x:c r="B6" s="47" t="n">
        <x:f>Sources!B7</x:f>
        <x:v>2</x:v>
      </x:c>
    </x:row>
    <x:row r="7" ht="21" customHeight="1">
      <x:c r="A7" s="40" t="str">
        <x:v>Temps planifié par équipe (min)</x:v>
      </x:c>
      <x:c r="B7" s="48" t="n">
        <x:f>Sources!B8</x:f>
        <x:v>440</x:v>
      </x:c>
    </x:row>
    <x:row r="8" ht="21" customHeight="1">
      <x:c r="A8" s="40" t="str">
        <x:v>Demande client (unités/jour)</x:v>
      </x:c>
      <x:c r="B8" s="48" t="n">
        <x:f>Sources!B9</x:f>
        <x:v>210</x:v>
      </x:c>
    </x:row>
    <x:row r="9" ht="21" customHeight="1">
      <x:c r="A9" s="40" t="str">
        <x:v>Temps disponible (s/jour)</x:v>
      </x:c>
      <x:c r="B9" s="48" t="n">
        <x:f>B6*B7*60</x:f>
        <x:v>52800</x:v>
      </x:c>
    </x:row>
    <x:row r="10" ht="21" customHeight="1">
      <x:c r="A10" s="42" t="str">
        <x:v>Takt time (s/unité)</x:v>
      </x:c>
      <x:c r="B10" s="49" t="n">
        <x:f>B9/B8</x:f>
        <x:v>251.42857142857142</x:v>
      </x:c>
    </x:row>
    <x:row r="11" ht="21" customHeight="1"/>
    <x:row r="12" ht="21" customHeight="1"/>
    <x:row r="13" ht="21" customHeight="1">
      <x:c r="A13" s="21" t="str">
        <x:v>Comparaison par poste</x:v>
      </x:c>
    </x:row>
    <x:row r="14" ht="46" customHeight="1">
      <x:c r="A14" s="9" t="str">
        <x:v>Poste</x:v>
      </x:c>
      <x:c r="B14" s="9" t="str">
        <x:v>Processus</x:v>
      </x:c>
      <x:c r="C14" s="9" t="str">
        <x:v>CT standard (s)</x:v>
      </x:c>
      <x:c r="D14" s="9" t="str">
        <x:v>CT net moyen (s)</x:v>
      </x:c>
      <x:c r="E14" s="9" t="str">
        <x:v>CT net médian (s)</x:v>
      </x:c>
      <x:c r="F14" s="9" t="str">
        <x:v>CT net P95 (s)</x:v>
      </x:c>
      <x:c r="G14" s="9" t="str">
        <x:v>CT écoulé moyen (s)</x:v>
      </x:c>
      <x:c r="H14" s="9" t="str">
        <x:v>Takt (s)</x:v>
      </x:c>
      <x:c r="I14" s="9" t="str">
        <x:v>Capacité théorique standard (u/j)</x:v>
      </x:c>
      <x:c r="J14" s="9" t="str">
        <x:v>Capacité de référence CT net (u/j)</x:v>
      </x:c>
      <x:c r="K14" s="9" t="str">
        <x:v>Écart à la demande (u/j)</x:v>
      </x:c>
      <x:c r="L14" s="9" t="str">
        <x:v>Lecture standard vs takt</x:v>
      </x:c>
    </x:row>
    <x:row r="15" ht="21" customHeight="1">
      <x:c r="A15" s="22" t="str">
        <x:f>Sources!A15</x:f>
        <x:v>ST10</x:v>
      </x:c>
      <x:c r="B15" s="22" t="str">
        <x:f>Sources!B15</x:f>
        <x:v>Kitting et vérification</x:v>
      </x:c>
      <x:c r="C15" s="50" t="n">
        <x:f>Sources!C15</x:f>
        <x:v>180</x:v>
      </x:c>
      <x:c r="D15" s="50" t="n">
        <x:f>Sources!G15/Sources!D15</x:f>
        <x:v>182.33428571428573</x:v>
      </x:c>
      <x:c r="E15" s="50" t="n">
        <x:f>Sources!H15</x:f>
        <x:v>182</x:v>
      </x:c>
      <x:c r="F15" s="50" t="n">
        <x:f>Sources!I15</x:f>
        <x:v>191</x:v>
      </x:c>
      <x:c r="G15" s="50" t="n">
        <x:f>Sources!J15/Sources!D15</x:f>
        <x:v>183.19285714285715</x:v>
      </x:c>
      <x:c r="H15" s="50" t="n">
        <x:f>$B$10</x:f>
        <x:v>251.42857142857142</x:v>
      </x:c>
      <x:c r="I15" s="50" t="n">
        <x:f>$B$9/C15</x:f>
        <x:v>293.3333333333333</x:v>
      </x:c>
      <x:c r="J15" s="50" t="n">
        <x:f>$B$9/D15</x:f>
        <x:v>289.5780121284297</x:v>
      </x:c>
      <x:c r="K15" s="50" t="n">
        <x:f>I15-$B$8</x:f>
        <x:v>83.33333333333331</x:v>
      </x:c>
      <x:c r="L15" s="22" t="str">
        <x:f>IF(C15&gt;$B$10,"Au-dessus du takt","Sous le takt")</x:f>
        <x:v>Sous le takt</x:v>
      </x:c>
    </x:row>
    <x:row r="16" ht="21" customHeight="1">
      <x:c r="A16" s="13" t="str">
        <x:f>Sources!A16</x:f>
        <x:v>ST20</x:v>
      </x:c>
      <x:c r="B16" s="13" t="str">
        <x:f>Sources!B16</x:f>
        <x:v>Préassemblage mécanique</x:v>
      </x:c>
      <x:c r="C16" s="51" t="n">
        <x:f>Sources!C16</x:f>
        <x:v>215</x:v>
      </x:c>
      <x:c r="D16" s="51" t="n">
        <x:f>Sources!G16/Sources!D16</x:f>
        <x:v>219.0759885659838</x:v>
      </x:c>
      <x:c r="E16" s="51" t="n">
        <x:f>Sources!H16</x:f>
        <x:v>219</x:v>
      </x:c>
      <x:c r="F16" s="51" t="n">
        <x:f>Sources!I16</x:f>
        <x:v>230</x:v>
      </x:c>
      <x:c r="G16" s="51" t="n">
        <x:f>Sources!J16/Sources!D16</x:f>
        <x:v>221.45569318723201</x:v>
      </x:c>
      <x:c r="H16" s="51" t="n">
        <x:f>$B$10</x:f>
        <x:v>251.42857142857142</x:v>
      </x:c>
      <x:c r="I16" s="51" t="n">
        <x:f>$B$9/C16</x:f>
        <x:v>245.58139534883722</x:v>
      </x:c>
      <x:c r="J16" s="51" t="n">
        <x:f>$B$9/D16</x:f>
        <x:v>241.01226403502955</x:v>
      </x:c>
      <x:c r="K16" s="51" t="n">
        <x:f>I16-$B$8</x:f>
        <x:v>35.58139534883722</x:v>
      </x:c>
      <x:c r="L16" s="13" t="str">
        <x:f>IF(C16&gt;$B$10,"Au-dessus du takt","Sous le takt")</x:f>
        <x:v>Sous le takt</x:v>
      </x:c>
    </x:row>
    <x:row r="17" ht="21" customHeight="1">
      <x:c r="A17" s="23" t="str">
        <x:f>Sources!A17</x:f>
        <x:v>ST30</x:v>
      </x:c>
      <x:c r="B17" s="23" t="str">
        <x:f>Sources!B17</x:f>
        <x:v>Montage arbre et roulements</x:v>
      </x:c>
      <x:c r="C17" s="52" t="n">
        <x:f>Sources!C17</x:f>
        <x:v>240</x:v>
      </x:c>
      <x:c r="D17" s="52" t="n">
        <x:f>Sources!G17/Sources!D17</x:f>
        <x:v>245.40198640878202</x:v>
      </x:c>
      <x:c r="E17" s="52" t="n">
        <x:f>Sources!H17</x:f>
        <x:v>245</x:v>
      </x:c>
      <x:c r="F17" s="52" t="n">
        <x:f>Sources!I17</x:f>
        <x:v>260</x:v>
      </x:c>
      <x:c r="G17" s="52" t="n">
        <x:f>Sources!J17/Sources!D17</x:f>
        <x:v>250.14845791949816</x:v>
      </x:c>
      <x:c r="H17" s="52" t="n">
        <x:f>$B$10</x:f>
        <x:v>251.42857142857142</x:v>
      </x:c>
      <x:c r="I17" s="52" t="n">
        <x:f>$B$9/C17</x:f>
        <x:v>220</x:v>
      </x:c>
      <x:c r="J17" s="52" t="n">
        <x:f>$B$9/D17</x:f>
        <x:v>215.1571825993601</x:v>
      </x:c>
      <x:c r="K17" s="52" t="n">
        <x:f>I17-$B$8</x:f>
        <x:v>10</x:v>
      </x:c>
      <x:c r="L17" s="23" t="str">
        <x:f>IF(C17&gt;$B$10,"Au-dessus du takt","Sous le takt")</x:f>
        <x:v>Sous le takt</x:v>
      </x:c>
    </x:row>
    <x:row r="18" ht="21" customHeight="1">
      <x:c r="A18" s="13" t="str">
        <x:f>Sources!A18</x:f>
        <x:v>ST40</x:v>
      </x:c>
      <x:c r="B18" s="13" t="str">
        <x:f>Sources!B18</x:f>
        <x:v>Assemblage et serrage contrôlé</x:v>
      </x:c>
      <x:c r="C18" s="51" t="n">
        <x:f>Sources!C18</x:f>
        <x:v>225</x:v>
      </x:c>
      <x:c r="D18" s="51" t="n">
        <x:f>Sources!G18/Sources!D18</x:f>
        <x:v>230.55448634590377</x:v>
      </x:c>
      <x:c r="E18" s="51" t="n">
        <x:f>Sources!H18</x:f>
        <x:v>230</x:v>
      </x:c>
      <x:c r="F18" s="51" t="n">
        <x:f>Sources!I18</x:f>
        <x:v>243</x:v>
      </x:c>
      <x:c r="G18" s="51" t="n">
        <x:f>Sources!J18/Sources!D18</x:f>
        <x:v>232.97919375812745</x:v>
      </x:c>
      <x:c r="H18" s="51" t="n">
        <x:f>$B$10</x:f>
        <x:v>251.42857142857142</x:v>
      </x:c>
      <x:c r="I18" s="51" t="n">
        <x:f>$B$9/C18</x:f>
        <x:v>234.66666666666666</x:v>
      </x:c>
      <x:c r="J18" s="51" t="n">
        <x:f>$B$9/D18</x:f>
        <x:v>229.01311024927747</x:v>
      </x:c>
      <x:c r="K18" s="51" t="n">
        <x:f>I18-$B$8</x:f>
        <x:v>24.666666666666657</x:v>
      </x:c>
      <x:c r="L18" s="13" t="str">
        <x:f>IF(C18&gt;$B$10,"Au-dessus du takt","Sous le takt")</x:f>
        <x:v>Sous le takt</x:v>
      </x:c>
    </x:row>
    <x:row r="19" ht="21" customHeight="1">
      <x:c r="A19" s="23" t="str">
        <x:f>Sources!A19</x:f>
        <x:v>ST50</x:v>
      </x:c>
      <x:c r="B19" s="23" t="str">
        <x:f>Sources!B19</x:f>
        <x:v>Essai fonctionnel</x:v>
      </x:c>
      <x:c r="C19" s="52" t="n">
        <x:f>Sources!C19</x:f>
        <x:v>285</x:v>
      </x:c>
      <x:c r="D19" s="52" t="n">
        <x:f>Sources!G19/Sources!D19</x:f>
        <x:v>293.45223325062034</x:v>
      </x:c>
      <x:c r="E19" s="52" t="n">
        <x:f>Sources!H19</x:f>
        <x:v>293</x:v>
      </x:c>
      <x:c r="F19" s="52" t="n">
        <x:f>Sources!I19</x:f>
        <x:v>313</x:v>
      </x:c>
      <x:c r="G19" s="52" t="n">
        <x:f>Sources!J19/Sources!D19</x:f>
        <x:v>301.5276054590571</x:v>
      </x:c>
      <x:c r="H19" s="52" t="n">
        <x:f>$B$10</x:f>
        <x:v>251.42857142857142</x:v>
      </x:c>
      <x:c r="I19" s="52" t="n">
        <x:f>$B$9/C19</x:f>
        <x:v>185.26315789473685</x:v>
      </x:c>
      <x:c r="J19" s="52" t="n">
        <x:f>$B$9/D19</x:f>
        <x:v>179.92706824932088</x:v>
      </x:c>
      <x:c r="K19" s="52" t="n">
        <x:f>I19-$B$8</x:f>
        <x:v>-24.73684210526315</x:v>
      </x:c>
      <x:c r="L19" s="23" t="str">
        <x:f>IF(C19&gt;$B$10,"Au-dessus du takt","Sous le takt")</x:f>
        <x:v>Au-dessus du takt</x:v>
      </x:c>
    </x:row>
    <x:row r="20" ht="21" customHeight="1">
      <x:c r="A20" s="13" t="str">
        <x:f>Sources!A20</x:f>
        <x:v>ST60</x:v>
      </x:c>
      <x:c r="B20" s="13" t="str">
        <x:f>Sources!B20</x:f>
        <x:v>Contrôle qualité</x:v>
      </x:c>
      <x:c r="C20" s="51" t="n">
        <x:f>Sources!C20</x:f>
        <x:v>200</x:v>
      </x:c>
      <x:c r="D20" s="51" t="n">
        <x:f>Sources!G20/Sources!D20</x:f>
        <x:v>204.13299874529486</x:v>
      </x:c>
      <x:c r="E20" s="51" t="n">
        <x:f>Sources!H20</x:f>
        <x:v>204</x:v>
      </x:c>
      <x:c r="F20" s="51" t="n">
        <x:f>Sources!I20</x:f>
        <x:v>215</x:v>
      </x:c>
      <x:c r="G20" s="51" t="n">
        <x:f>Sources!J20/Sources!D20</x:f>
        <x:v>205.77289836888332</x:v>
      </x:c>
      <x:c r="H20" s="51" t="n">
        <x:f>$B$10</x:f>
        <x:v>251.42857142857142</x:v>
      </x:c>
      <x:c r="I20" s="51" t="n">
        <x:f>$B$9/C20</x:f>
        <x:v>264</x:v>
      </x:c>
      <x:c r="J20" s="51" t="n">
        <x:f>$B$9/D20</x:f>
        <x:v>258.65489815235964</x:v>
      </x:c>
      <x:c r="K20" s="51" t="n">
        <x:f>I20-$B$8</x:f>
        <x:v>54</x:v>
      </x:c>
      <x:c r="L20" s="13" t="str">
        <x:f>IF(C20&gt;$B$10,"Au-dessus du takt","Sous le takt")</x:f>
        <x:v>Sous le takt</x:v>
      </x:c>
    </x:row>
    <x:row r="21" ht="21" customHeight="1">
      <x:c r="A21" s="24" t="str">
        <x:f>Sources!A21</x:f>
        <x:v>ST70</x:v>
      </x:c>
      <x:c r="B21" s="24" t="str">
        <x:f>Sources!B21</x:f>
        <x:v>Identification et conditionnement</x:v>
      </x:c>
      <x:c r="C21" s="53" t="n">
        <x:f>Sources!C21</x:f>
        <x:v>160</x:v>
      </x:c>
      <x:c r="D21" s="53" t="n">
        <x:f>Sources!G21/Sources!D21</x:f>
        <x:v>162.16125954198472</x:v>
      </x:c>
      <x:c r="E21" s="53" t="n">
        <x:f>Sources!H21</x:f>
        <x:v>162</x:v>
      </x:c>
      <x:c r="F21" s="53" t="n">
        <x:f>Sources!I21</x:f>
        <x:v>170</x:v>
      </x:c>
      <x:c r="G21" s="53" t="n">
        <x:f>Sources!J21/Sources!D21</x:f>
        <x:v>162.69688295165395</x:v>
      </x:c>
      <x:c r="H21" s="53" t="n">
        <x:f>$B$10</x:f>
        <x:v>251.42857142857142</x:v>
      </x:c>
      <x:c r="I21" s="53" t="n">
        <x:f>$B$9/C21</x:f>
        <x:v>330</x:v>
      </x:c>
      <x:c r="J21" s="53" t="n">
        <x:f>$B$9/D21</x:f>
        <x:v>325.6018123510548</x:v>
      </x:c>
      <x:c r="K21" s="53" t="n">
        <x:f>I21-$B$8</x:f>
        <x:v>120</x:v>
      </x:c>
      <x:c r="L21" s="24" t="str">
        <x:f>IF(C21&gt;$B$10,"Au-dessus du takt","Sous le takt")</x:f>
        <x:v>Sous le takt</x:v>
      </x:c>
    </x:row>
    <x:row r="22" ht="21" customHeight="1"/>
    <x:row r="23" ht="21" customHeight="1"/>
    <x:row r="24" ht="21" customHeight="1">
      <x:c r="A24" s="9" t="str">
        <x:v>Résultat</x:v>
      </x:c>
      <x:c r="B24" s="9" t="str">
        <x:v>Valeur</x:v>
      </x:c>
    </x:row>
    <x:row r="25" ht="21" customHeight="1">
      <x:c r="A25" s="57" t="str">
        <x:v>Capacité théorique de la ligne (unités/jour)</x:v>
      </x:c>
      <x:c r="B25" s="60" t="n">
        <x:f>MIN(I15:I21)</x:f>
        <x:v>185.26315789473685</x:v>
      </x:c>
    </x:row>
    <x:row r="26" ht="21" customHeight="1">
      <x:c r="A26" s="58" t="str">
        <x:v>Station limitante sur base standard</x:v>
      </x:c>
      <x:c r="B26" s="51" t="str">
        <x:f>INDEX(A15:A21,MATCH(B25,I15:I21,0))</x:f>
        <x:v>ST50</x:v>
      </x:c>
    </x:row>
    <x:row r="27" ht="21" customHeight="1">
      <x:c r="A27" s="58" t="str">
        <x:v>Écart de capacité à la demande (unités/jour)</x:v>
      </x:c>
      <x:c r="B27" s="51" t="n">
        <x:f>B25-B8</x:f>
        <x:v>-24.73684210526315</x:v>
      </x:c>
    </x:row>
    <x:row r="28" ht="21" customHeight="1">
      <x:c r="A28" s="58" t="str">
        <x:v>Écart de capacité à la demande (%)</x:v>
      </x:c>
      <x:c r="B28" s="61" t="n">
        <x:f>B27/B8</x:f>
        <x:v>-0.11779448621553881</x:v>
      </x:c>
    </x:row>
    <x:row r="29" ht="21" customHeight="1">
      <x:c r="A29" s="58" t="str">
        <x:v>Réduction minimale du CT limitant (s)</x:v>
      </x:c>
      <x:c r="B29" s="51" t="n">
        <x:f>MAX(0,MAX(C15:C21)-B10)</x:f>
        <x:v>33.571428571428584</x:v>
      </x:c>
    </x:row>
    <x:row r="30" ht="21" customHeight="1">
      <x:c r="A30" s="59" t="str">
        <x:v>Nombre de postes au-dessus du takt</x:v>
      </x:c>
      <x:c r="B30" s="62" t="n">
        <x:f>COUNTIF(C15:C21,"&gt;"&amp;B10)</x:f>
        <x:v>1</x:v>
      </x:c>
    </x:row>
    <x:row r="31" ht="21" customHeight="1"/>
    <x:row r="32" ht="36" customHeight="1">
      <x:c r="A32" s="70" t="str">
        <x:v>Limite de lecture</x:v>
      </x:c>
      <x:c r="B32" s="71" t="str">
        <x:v>La capacité théorique est calculée avec le CT standard. Elle n'intègre pas les arrêts, changements de série, blocages, attentes, rendement qualité ni disponibilité.</x:v>
      </x:c>
      <x:c r="C32" s="71"/>
      <x:c r="D32" s="71"/>
      <x:c r="E32" s="71"/>
      <x:c r="F32" s="71"/>
      <x:c r="G32" s="71"/>
      <x:c r="H32" s="71"/>
      <x:c r="I32" s="71"/>
      <x:c r="J32" s="71"/>
      <x:c r="K32" s="71"/>
      <x:c r="L32" s="72"/>
    </x:row>
    <x:row r="33" ht="36" customHeight="1">
      <x:c r="A33" s="73" t="str">
        <x:v>Suite du projet</x:v>
      </x:c>
      <x:c r="B33" s="74" t="str">
        <x:v>Le diagnostic complet du goulot est réservé au J08 et le calcul OEE/TRS au J09.</x:v>
      </x:c>
      <x:c r="C33" s="74"/>
      <x:c r="D33" s="74"/>
      <x:c r="E33" s="74"/>
      <x:c r="F33" s="74"/>
      <x:c r="G33" s="74"/>
      <x:c r="H33" s="74"/>
      <x:c r="I33" s="74"/>
      <x:c r="J33" s="74"/>
      <x:c r="K33" s="74"/>
      <x:c r="L33" s="75"/>
    </x:row>
    <x:row r="34" ht="21" customHeight="1"/>
  </x:sheetData>
  <x:mergeCells>
    <x:mergeCell ref="B32:L32"/>
    <x:mergeCell ref="B33:L33"/>
  </x:mergeCells>
  <x:conditionalFormatting sqref="K15:K21">
    <x:cfRule type="cellIs" dxfId="0" priority="1" operator="lessThan">
      <x:formula>0</x:formula>
    </x:cfRule>
  </x:conditionalFormatting>
  <x:conditionalFormatting sqref="L15:L21">
    <x:cfRule type="containsText" dxfId="1" priority="2" operator="containsText" text="Au-dessus du takt"/>
    <x:cfRule type="containsText" dxfId="2" priority="3" operator="containsText" text="Sous le takt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7EA6C4"/>
  </x:sheetPr>
  <x:sheetViews>
    <x:sheetView showGridLines="0" workbookViewId="0">
      <x:pane ySplit="14" topLeftCell="A15" activePane="bottomLeft" state="frozen"/>
    </x:sheetView>
  </x:sheetViews>
  <x:sheetFormatPr defaultRowHeight="15"/>
  <x:cols>
    <x:col min="1" max="1" width="25" hidden="0" customWidth="1"/>
    <x:col min="2" max="2" width="36" hidden="0" customWidth="1"/>
    <x:col min="3" max="3" width="20" hidden="0" customWidth="1"/>
    <x:col min="4" max="4" width="28" hidden="0" customWidth="1"/>
    <x:col min="5" max="5" width="17" hidden="0" customWidth="1"/>
    <x:col min="6" max="6" width="17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21" customHeight="1"/>
    <x:row r="2" ht="21" customHeight="1">
      <x:c r="A2" s="1" t="str">
        <x:v>EMA-120 - Sources et hypothèses J07</x:v>
      </x:c>
    </x:row>
    <x:row r="3" ht="21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</x:row>
    <x:row r="4" ht="21" customHeight="1">
      <x:c r="A4" s="3" t="str">
        <x:v>Hypothèses verrouillées du J01 et agrégats calculés sur production.csv validé au J06.</x:v>
      </x:c>
      <x:c r="B4" s="3"/>
      <x:c r="C4" s="3"/>
      <x:c r="D4" s="3"/>
      <x:c r="E4" s="3"/>
      <x:c r="F4" s="3"/>
      <x:c r="G4" s="3"/>
      <x:c r="H4" s="3"/>
      <x:c r="I4" s="3"/>
      <x:c r="J4" s="3"/>
    </x:row>
    <x:row r="5" ht="21" customHeight="1"/>
    <x:row r="6" ht="21" customHeight="1">
      <x:c r="A6" s="9" t="str">
        <x:v>Hypothèse</x:v>
      </x:c>
      <x:c r="B6" s="9" t="str">
        <x:v>Valeur</x:v>
      </x:c>
      <x:c r="C6" s="9" t="str">
        <x:v>Unité</x:v>
      </x:c>
      <x:c r="D6" s="9" t="str">
        <x:v>Origine</x:v>
      </x:c>
    </x:row>
    <x:row r="7" ht="21" customHeight="1">
      <x:c r="A7" s="12" t="str">
        <x:v>Équipes par jour</x:v>
      </x:c>
      <x:c r="B7" s="17" t="n">
        <x:v>2</x:v>
      </x:c>
      <x:c r="C7" s="12" t="str">
        <x:v>équipe/jour</x:v>
      </x:c>
      <x:c r="D7" s="12" t="str">
        <x:v>Baseline J01</x:v>
      </x:c>
    </x:row>
    <x:row r="8" ht="21" customHeight="1">
      <x:c r="A8" s="13" t="str">
        <x:v>Temps planifié par équipe</x:v>
      </x:c>
      <x:c r="B8" s="18" t="n">
        <x:v>440</x:v>
      </x:c>
      <x:c r="C8" s="13" t="str">
        <x:v>min/équipe</x:v>
      </x:c>
      <x:c r="D8" s="13" t="str">
        <x:v>Baseline J01</x:v>
      </x:c>
    </x:row>
    <x:row r="9" ht="21" customHeight="1">
      <x:c r="A9" s="13" t="str">
        <x:v>Demande client quotidienne</x:v>
      </x:c>
      <x:c r="B9" s="18" t="n">
        <x:v>210</x:v>
      </x:c>
      <x:c r="C9" s="13" t="str">
        <x:v>unités/jour</x:v>
      </x:c>
      <x:c r="D9" s="13" t="str">
        <x:v>Baseline J01</x:v>
      </x:c>
    </x:row>
    <x:row r="10" ht="21" customHeight="1">
      <x:c r="A10" s="13" t="str">
        <x:v>Statut de validation</x:v>
      </x:c>
      <x:c r="B10" s="20" t="str">
        <x:v>PASS</x:v>
      </x:c>
      <x:c r="C10" s="13" t="str">
        <x:v>-</x:v>
      </x:c>
      <x:c r="D10" s="13" t="str">
        <x:v>Rapport J06</x:v>
      </x:c>
    </x:row>
    <x:row r="11" ht="21" customHeight="1">
      <x:c r="A11" s="14" t="str">
        <x:v>Événements de production</x:v>
      </x:c>
      <x:c r="B11" s="14" t="n">
        <x:v>25625</x:v>
      </x:c>
      <x:c r="C11" s="14" t="str">
        <x:v>événements</x:v>
      </x:c>
      <x:c r="D11" s="14" t="str">
        <x:v>production.csv processed</x:v>
      </x:c>
    </x:row>
    <x:row r="12" ht="21" customHeight="1"/>
    <x:row r="13" ht="21" customHeight="1">
      <x:c r="A13" s="21" t="str">
        <x:v>Agrégats par poste</x:v>
      </x:c>
    </x:row>
    <x:row r="14" ht="36" customHeight="1">
      <x:c r="A14" s="9" t="str">
        <x:v>Poste</x:v>
      </x:c>
      <x:c r="B14" s="9" t="str">
        <x:v>Processus</x:v>
      </x:c>
      <x:c r="C14" s="9" t="str">
        <x:v>CT standard (s)</x:v>
      </x:c>
      <x:c r="D14" s="9" t="str">
        <x:v>Événements</x:v>
      </x:c>
      <x:c r="E14" s="9" t="str">
        <x:v>Premier passage</x:v>
      </x:c>
      <x:c r="F14" s="9" t="str">
        <x:v>Reprises</x:v>
      </x:c>
      <x:c r="G14" s="9" t="str">
        <x:v>Somme CT net (s)</x:v>
      </x:c>
      <x:c r="H14" s="9" t="str">
        <x:v>Médiane CT net (s)</x:v>
      </x:c>
      <x:c r="I14" s="9" t="str">
        <x:v>P95 CT net (s)</x:v>
      </x:c>
      <x:c r="J14" s="9" t="str">
        <x:v>Somme CT écoulé (s)</x:v>
      </x:c>
    </x:row>
    <x:row r="15" ht="21" customHeight="1">
      <x:c r="A15" s="22" t="str">
        <x:v>ST10</x:v>
      </x:c>
      <x:c r="B15" s="22" t="str">
        <x:v>Kitting et vérification</x:v>
      </x:c>
      <x:c r="C15" s="29" t="n">
        <x:v>180</x:v>
      </x:c>
      <x:c r="D15" s="29" t="n">
        <x:v>4200</x:v>
      </x:c>
      <x:c r="E15" s="29" t="n">
        <x:v>4200</x:v>
      </x:c>
      <x:c r="F15" s="29" t="n">
        <x:v>0</x:v>
      </x:c>
      <x:c r="G15" s="29" t="n">
        <x:v>765804</x:v>
      </x:c>
      <x:c r="H15" s="25" t="n">
        <x:v>182</x:v>
      </x:c>
      <x:c r="I15" s="25" t="n">
        <x:v>191</x:v>
      </x:c>
      <x:c r="J15" s="29" t="n">
        <x:v>769410</x:v>
      </x:c>
    </x:row>
    <x:row r="16" ht="21" customHeight="1">
      <x:c r="A16" s="13" t="str">
        <x:v>ST20</x:v>
      </x:c>
      <x:c r="B16" s="13" t="str">
        <x:v>Préassemblage mécanique</x:v>
      </x:c>
      <x:c r="C16" s="30" t="n">
        <x:v>215</x:v>
      </x:c>
      <x:c r="D16" s="30" t="n">
        <x:v>4198</x:v>
      </x:c>
      <x:c r="E16" s="30" t="n">
        <x:v>4198</x:v>
      </x:c>
      <x:c r="F16" s="30" t="n">
        <x:v>0</x:v>
      </x:c>
      <x:c r="G16" s="30" t="n">
        <x:v>919681</x:v>
      </x:c>
      <x:c r="H16" s="26" t="n">
        <x:v>219</x:v>
      </x:c>
      <x:c r="I16" s="26" t="n">
        <x:v>230</x:v>
      </x:c>
      <x:c r="J16" s="30" t="n">
        <x:v>929671</x:v>
      </x:c>
    </x:row>
    <x:row r="17" ht="21" customHeight="1">
      <x:c r="A17" s="23" t="str">
        <x:v>ST30</x:v>
      </x:c>
      <x:c r="B17" s="23" t="str">
        <x:v>Montage arbre et roulements</x:v>
      </x:c>
      <x:c r="C17" s="31" t="n">
        <x:v>240</x:v>
      </x:c>
      <x:c r="D17" s="31" t="n">
        <x:v>3826</x:v>
      </x:c>
      <x:c r="E17" s="31" t="n">
        <x:v>3826</x:v>
      </x:c>
      <x:c r="F17" s="31" t="n">
        <x:v>0</x:v>
      </x:c>
      <x:c r="G17" s="31" t="n">
        <x:v>938908</x:v>
      </x:c>
      <x:c r="H17" s="27" t="n">
        <x:v>245</x:v>
      </x:c>
      <x:c r="I17" s="27" t="n">
        <x:v>260</x:v>
      </x:c>
      <x:c r="J17" s="31" t="n">
        <x:v>957068</x:v>
      </x:c>
    </x:row>
    <x:row r="18" ht="21" customHeight="1">
      <x:c r="A18" s="13" t="str">
        <x:v>ST40</x:v>
      </x:c>
      <x:c r="B18" s="13" t="str">
        <x:v>Assemblage et serrage contrôlé</x:v>
      </x:c>
      <x:c r="C18" s="30" t="n">
        <x:v>225</x:v>
      </x:c>
      <x:c r="D18" s="30" t="n">
        <x:v>3845</x:v>
      </x:c>
      <x:c r="E18" s="30" t="n">
        <x:v>3821</x:v>
      </x:c>
      <x:c r="F18" s="30" t="n">
        <x:v>24</x:v>
      </x:c>
      <x:c r="G18" s="30" t="n">
        <x:v>886482</x:v>
      </x:c>
      <x:c r="H18" s="26" t="n">
        <x:v>230</x:v>
      </x:c>
      <x:c r="I18" s="26" t="n">
        <x:v>243</x:v>
      </x:c>
      <x:c r="J18" s="30" t="n">
        <x:v>895805</x:v>
      </x:c>
    </x:row>
    <x:row r="19" ht="21" customHeight="1">
      <x:c r="A19" s="23" t="str">
        <x:v>ST50</x:v>
      </x:c>
      <x:c r="B19" s="23" t="str">
        <x:v>Essai fonctionnel</x:v>
      </x:c>
      <x:c r="C19" s="31" t="n">
        <x:v>285</x:v>
      </x:c>
      <x:c r="D19" s="31" t="n">
        <x:v>3224</x:v>
      </x:c>
      <x:c r="E19" s="31" t="n">
        <x:v>3156</x:v>
      </x:c>
      <x:c r="F19" s="31" t="n">
        <x:v>68</x:v>
      </x:c>
      <x:c r="G19" s="31" t="n">
        <x:v>946090</x:v>
      </x:c>
      <x:c r="H19" s="27" t="n">
        <x:v>293</x:v>
      </x:c>
      <x:c r="I19" s="27" t="n">
        <x:v>313</x:v>
      </x:c>
      <x:c r="J19" s="31" t="n">
        <x:v>972125</x:v>
      </x:c>
    </x:row>
    <x:row r="20" ht="21" customHeight="1">
      <x:c r="A20" s="13" t="str">
        <x:v>ST60</x:v>
      </x:c>
      <x:c r="B20" s="13" t="str">
        <x:v>Contrôle qualité</x:v>
      </x:c>
      <x:c r="C20" s="30" t="n">
        <x:v>200</x:v>
      </x:c>
      <x:c r="D20" s="30" t="n">
        <x:v>3188</x:v>
      </x:c>
      <x:c r="E20" s="30" t="n">
        <x:v>3148</x:v>
      </x:c>
      <x:c r="F20" s="30" t="n">
        <x:v>40</x:v>
      </x:c>
      <x:c r="G20" s="30" t="n">
        <x:v>650776</x:v>
      </x:c>
      <x:c r="H20" s="26" t="n">
        <x:v>204</x:v>
      </x:c>
      <x:c r="I20" s="26" t="n">
        <x:v>215</x:v>
      </x:c>
      <x:c r="J20" s="30" t="n">
        <x:v>656004</x:v>
      </x:c>
    </x:row>
    <x:row r="21" ht="21" customHeight="1">
      <x:c r="A21" s="24" t="str">
        <x:v>ST70</x:v>
      </x:c>
      <x:c r="B21" s="24" t="str">
        <x:v>Identification et conditionnement</x:v>
      </x:c>
      <x:c r="C21" s="32" t="n">
        <x:v>160</x:v>
      </x:c>
      <x:c r="D21" s="32" t="n">
        <x:v>3144</x:v>
      </x:c>
      <x:c r="E21" s="32" t="n">
        <x:v>3144</x:v>
      </x:c>
      <x:c r="F21" s="32" t="n">
        <x:v>0</x:v>
      </x:c>
      <x:c r="G21" s="32" t="n">
        <x:v>509835</x:v>
      </x:c>
      <x:c r="H21" s="28" t="n">
        <x:v>162</x:v>
      </x:c>
      <x:c r="I21" s="28" t="n">
        <x:v>170</x:v>
      </x:c>
      <x:c r="J21" s="32" t="n">
        <x:v>511519</x:v>
      </x:c>
    </x:row>
    <x:row r="22" ht="21" customHeight="1"/>
    <x:row r="23" ht="21" customHeight="1">
      <x:c r="A23" s="3" t="str">
        <x:v>Source : data/processed/production.csv, validation J06 = PASS, SHA-256 contrôlé.</x:v>
      </x:c>
      <x:c r="B23" s="3"/>
      <x:c r="C23" s="3"/>
      <x:c r="D23" s="3"/>
      <x:c r="E23" s="3"/>
      <x:c r="F23" s="3"/>
      <x:c r="G23" s="3"/>
      <x:c r="H23" s="3"/>
      <x:c r="I23" s="3"/>
      <x:c r="J23" s="3"/>
    </x:row>
    <x:row r="24" ht="21" customHeight="1"/>
    <x:row r="25" ht="21" customHeight="1"/>
    <x:row r="26" ht="21" customHeight="1">
      <x:c r="A26" s="9" t="str">
        <x:v>Terme</x:v>
      </x:c>
      <x:c r="B26" s="9" t="str">
        <x:v>Définition</x:v>
      </x:c>
      <x:c r="C26" s="9" t="str">
        <x:v>Formule utilisée</x:v>
      </x:c>
      <x:c r="D26" s="9" t="str">
        <x:v>Limite</x:v>
      </x:c>
    </x:row>
    <x:row r="27" ht="42" customHeight="1">
      <x:c r="A27" s="33" t="str">
        <x:v>Takt time</x:v>
      </x:c>
      <x:c r="B27" s="33" t="str">
        <x:v>Rythme requis par la demande client</x:v>
      </x:c>
      <x:c r="C27" s="33" t="str">
        <x:v>Temps disponible / demande</x:v>
      </x:c>
      <x:c r="D27" s="33" t="str">
        <x:v>Ce n'est pas un temps de cycle mesuré</x:v>
      </x:c>
    </x:row>
    <x:row r="28" ht="42" customHeight="1">
      <x:c r="A28" s="34" t="str">
        <x:v>CT standard</x:v>
      </x:c>
      <x:c r="B28" s="34" t="str">
        <x:v>Temps nominal de référence du poste</x:v>
      </x:c>
      <x:c r="C28" s="34" t="str">
        <x:v>Référentiel J01</x:v>
      </x:c>
      <x:c r="D28" s="34" t="str">
        <x:v>N'intègre pas les pertes</x:v>
      </x:c>
    </x:row>
    <x:row r="29" ht="42" customHeight="1">
      <x:c r="A29" s="34" t="str">
        <x:v>CT net observé</x:v>
      </x:c>
      <x:c r="B29" s="34" t="str">
        <x:v>Temps actif observé hors arrêts</x:v>
      </x:c>
      <x:c r="C29" s="34" t="str">
        <x:v>Somme net_cycle_time_s / événements</x:v>
      </x:c>
      <x:c r="D29" s="34" t="str">
        <x:v>Inclut les passages de reprise</x:v>
      </x:c>
    </x:row>
    <x:row r="30" ht="42" customHeight="1">
      <x:c r="A30" s="34" t="str">
        <x:v>CT écoulé observé</x:v>
      </x:c>
      <x:c r="B30" s="34" t="str">
        <x:v>Temps entre début et fin de l'opération</x:v>
      </x:c>
      <x:c r="C30" s="34" t="str">
        <x:v>Somme elapsed_time_s / événements</x:v>
      </x:c>
      <x:c r="D30" s="34" t="str">
        <x:v>N'intègre pas les changements avant opération</x:v>
      </x:c>
    </x:row>
    <x:row r="31" ht="42" customHeight="1">
      <x:c r="A31" s="35" t="str">
        <x:v>Capacité théorique</x:v>
      </x:c>
      <x:c r="B31" s="35" t="str">
        <x:v>Capacité sans pertes consolidées</x:v>
      </x:c>
      <x:c r="C31" s="35" t="str">
        <x:v>Temps disponible / CT standard</x:v>
      </x:c>
      <x:c r="D31" s="35" t="str">
        <x:v>Ce n'est pas la capacité réelle</x:v>
      </x:c>
    </x:row>
    <x:row r="32" ht="21" customHeight="1"/>
  </x:sheetData>
  <x:pageMargins left="0.7" right="0.7" top="0.75" bottom="0.75" header="0.3" footer="0.3"/>
</x:worksheet>
</file>