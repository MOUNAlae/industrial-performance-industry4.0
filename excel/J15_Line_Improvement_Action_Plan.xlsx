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f13d1b4b6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830a910b797c44ea"/>
    <x:sheet xmlns:r="http://schemas.openxmlformats.org/officeDocument/2006/relationships" name="Scénario amélioré" sheetId="2" r:id="R1e455089adee47ea"/>
    <x:sheet xmlns:r="http://schemas.openxmlformats.org/officeDocument/2006/relationships" name="Plan actions" sheetId="3" r:id="R009852793864467b"/>
    <x:sheet xmlns:r="http://schemas.openxmlformats.org/officeDocument/2006/relationships" name="Sources" sheetId="4" r:id="R095d056a93ee4a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#,##0"/>
    <x:numFmt numFmtId="202" formatCode="0.0%"/>
    <x:numFmt numFmtId="203" formatCode="0.0"/>
    <x:numFmt numFmtId="204" formatCode="0%"/>
    <x:numFmt numFmtId="205" formatCode="0.0 &quot;u/j&quot;"/>
    <x:numFmt numFmtId="206" formatCode="0 &quot;u/j&quot;"/>
  </x:numFmts>
  <x:fonts count="14">
    <x:font>
      <x:sz val="11"/>
      <x:name val="Carlito"/>
    </x:font>
    <x:font>
      <x:sz val="10"/>
      <x:color rgb="FF16202A"/>
      <x:name val="Arial"/>
    </x:font>
    <x:font>
      <x:b/>
      <x:sz val="16"/>
      <x:color rgb="FF0A1F33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0"/>
      <x:color rgb="FF16202A"/>
      <x:name val="Arial"/>
    </x:font>
    <x:font>
      <x:b/>
      <x:sz val="11"/>
      <x:color rgb="FFC0392B"/>
      <x:name val="Arial"/>
    </x:font>
    <x:font>
      <x:b/>
      <x:sz val="9"/>
      <x:color rgb="FF64748B"/>
      <x:name val="Arial"/>
    </x:font>
    <x:font>
      <x:b/>
      <x:sz val="17"/>
      <x:color rgb="FFC0392B"/>
      <x:name val="Arial"/>
    </x:font>
    <x:font>
      <x:b/>
      <x:sz val="17"/>
      <x:color rgb="FF26734D"/>
      <x:name val="Arial"/>
    </x:font>
    <x:font>
      <x:b/>
      <x:sz val="17"/>
      <x:color rgb="FF0B63CE"/>
      <x:name val="Arial"/>
    </x:font>
    <x:font>
      <x:b/>
      <x:sz val="17"/>
      <x:color rgb="FFE67E22"/>
      <x:name val="Arial"/>
    </x:font>
    <x:font>
      <x:b/>
      <x:sz val="11"/>
      <x:color rgb="FF26734D"/>
      <x:name val="Arial"/>
    </x:font>
    <x:font>
      <x:b/>
      <x:sz val="11"/>
      <x:color rgb="FF16202A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28B8D5"/>
      </x:patternFill>
    </x:fill>
    <x:fill>
      <x:patternFill patternType="solid">
        <x:fgColor rgb="FF0A1F33"/>
      </x:patternFill>
    </x:fill>
    <x:fill>
      <x:patternFill patternType="solid">
        <x:fgColor rgb="FF0B63CE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DE9E7"/>
      </x:patternFill>
    </x:fill>
    <x:fill>
      <x:patternFill patternType="solid">
        <x:fgColor rgb="FFEAF3FF"/>
      </x:patternFill>
    </x:fill>
  </x:fills>
  <x:borders count="35">
    <x:border/>
    <x:border>
      <x:bottom style="thin">
        <x:color rgb="FFFFFFFF"/>
      </x:bottom>
    </x:border>
    <x:border>
      <x:bottom style="thin">
        <x:color rgb="FFCBD5E1"/>
      </x:bottom>
    </x:border>
    <x:border>
      <x:left style="thin">
        <x:color rgb="FFE67E22"/>
      </x:left>
      <x:top style="thin">
        <x:color rgb="FFE67E22"/>
      </x:top>
    </x:border>
    <x:border>
      <x:top style="thin">
        <x:color rgb="FFE67E22"/>
      </x:top>
    </x:border>
    <x:border>
      <x:right style="thin">
        <x:color rgb="FFE67E22"/>
      </x:right>
      <x:top style="thin">
        <x:color rgb="FFE67E22"/>
      </x:top>
    </x:border>
    <x:border>
      <x:left style="thin">
        <x:color rgb="FFE67E22"/>
      </x:left>
    </x:border>
    <x:border>
      <x:right style="thin">
        <x:color rgb="FFE67E22"/>
      </x:right>
    </x:border>
    <x:border>
      <x:left style="thin">
        <x:color rgb="FFE67E22"/>
      </x:left>
      <x:bottom style="thin">
        <x:color rgb="FFE67E22"/>
      </x:bottom>
    </x:border>
    <x:border>
      <x:bottom style="thin">
        <x:color rgb="FFE67E22"/>
      </x:bottom>
    </x:border>
    <x:border>
      <x:right style="thin">
        <x:color rgb="FFE67E22"/>
      </x:right>
      <x:bottom style="thin">
        <x:color rgb="FFE67E22"/>
      </x:bottom>
    </x:border>
    <x:border>
      <x:left style="thin">
        <x:color rgb="FFC0392B"/>
      </x:left>
      <x:top style="thin">
        <x:color rgb="FFC0392B"/>
      </x:top>
    </x:border>
    <x:border>
      <x:top style="thin">
        <x:color rgb="FFC0392B"/>
      </x:top>
    </x:border>
    <x:border>
      <x:right style="thin">
        <x:color rgb="FFC0392B"/>
      </x:right>
      <x:top style="thin">
        <x:color rgb="FFC0392B"/>
      </x:top>
    </x:border>
    <x:border>
      <x:left style="thin">
        <x:color rgb="FFC0392B"/>
      </x:left>
    </x:border>
    <x:border>
      <x:right style="thin">
        <x:color rgb="FFC0392B"/>
      </x:right>
    </x:border>
    <x:border>
      <x:left style="thin">
        <x:color rgb="FFC0392B"/>
      </x:left>
      <x:bottom style="thin">
        <x:color rgb="FFC0392B"/>
      </x:bottom>
    </x:border>
    <x:border>
      <x:bottom style="thin">
        <x:color rgb="FFC0392B"/>
      </x:bottom>
    </x:border>
    <x:border>
      <x:right style="thin">
        <x:color rgb="FFC0392B"/>
      </x:right>
      <x:bottom style="thin">
        <x:color rgb="FFC0392B"/>
      </x:bottom>
    </x:border>
    <x:border>
      <x:left style="thin">
        <x:color rgb="FF26734D"/>
      </x:left>
      <x:top style="thin">
        <x:color rgb="FF26734D"/>
      </x:top>
    </x:border>
    <x:border>
      <x:top style="thin">
        <x:color rgb="FF26734D"/>
      </x:top>
    </x:border>
    <x:border>
      <x:right style="thin">
        <x:color rgb="FF26734D"/>
      </x:right>
      <x:top style="thin">
        <x:color rgb="FF26734D"/>
      </x:top>
    </x:border>
    <x:border>
      <x:left style="thin">
        <x:color rgb="FF26734D"/>
      </x:left>
    </x:border>
    <x:border>
      <x:right style="thin">
        <x:color rgb="FF26734D"/>
      </x:right>
    </x:border>
    <x:border>
      <x:left style="thin">
        <x:color rgb="FF26734D"/>
      </x:left>
      <x:bottom style="thin">
        <x:color rgb="FF26734D"/>
      </x:bottom>
    </x:border>
    <x:border>
      <x:bottom style="thin">
        <x:color rgb="FF26734D"/>
      </x:bottom>
    </x:border>
    <x:border>
      <x:right style="thin">
        <x:color rgb="FF26734D"/>
      </x:right>
      <x:bottom style="thin">
        <x:color rgb="FF26734D"/>
      </x:bottom>
    </x:border>
    <x:border>
      <x:left style="thin">
        <x:color rgb="FF0B63CE"/>
      </x:left>
      <x:top style="thin">
        <x:color rgb="FF0B63CE"/>
      </x:top>
    </x:border>
    <x:border>
      <x:top style="thin">
        <x:color rgb="FF0B63CE"/>
      </x:top>
    </x:border>
    <x:border>
      <x:right style="thin">
        <x:color rgb="FF0B63CE"/>
      </x:right>
      <x:top style="thin">
        <x:color rgb="FF0B63CE"/>
      </x:top>
    </x:border>
    <x:border>
      <x:left style="thin">
        <x:color rgb="FF0B63CE"/>
      </x:left>
    </x:border>
    <x:border>
      <x:right style="thin">
        <x:color rgb="FF0B63CE"/>
      </x:right>
    </x:border>
    <x:border>
      <x:left style="thin">
        <x:color rgb="FF0B63CE"/>
      </x:left>
      <x:bottom style="thin">
        <x:color rgb="FF0B63CE"/>
      </x:bottom>
    </x:border>
    <x:border>
      <x:bottom style="thin">
        <x:color rgb="FF0B63CE"/>
      </x:bottom>
    </x:border>
    <x:border>
      <x:right style="thin">
        <x:color rgb="FF0B63CE"/>
      </x:right>
      <x:bottom style="thin">
        <x:color rgb="FF0B63CE"/>
      </x:bottom>
    </x:border>
  </x:borders>
  <x:cellStyleXfs count="1">
    <x:xf numFmtId="0" fontId="0" fillId="0" borderId="0"/>
  </x:cellStyleXfs>
  <x:cellXfs count="17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5" borderId="2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1" fillId="5" borderId="2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2" fontId="1" fillId="5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3" fontId="1" fillId="5" borderId="0" xfId="0" applyNumberFormat="1" applyFont="1" applyFill="1" applyBorder="1" applyAlignment="1">
      <x:alignment vertical="center"/>
    </x:xf>
    <x:xf numFmtId="203" fontId="1" fillId="5" borderId="2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/>
    </x:xf>
    <x:xf numFmtId="0" fontId="5" fillId="6" borderId="7" xfId="0" applyNumberFormat="1" applyFont="1" applyFill="1" applyBorder="1" applyAlignment="1">
      <x:alignment vertical="center"/>
    </x:xf>
    <x:xf numFmtId="0" fontId="5" fillId="6" borderId="8" xfId="0" applyNumberFormat="1" applyFont="1" applyFill="1" applyBorder="1" applyAlignment="1">
      <x:alignment vertical="center"/>
    </x:xf>
    <x:xf numFmtId="0" fontId="5" fillId="6" borderId="9" xfId="0" applyNumberFormat="1" applyFont="1" applyFill="1" applyBorder="1" applyAlignment="1">
      <x:alignment vertical="center"/>
    </x:xf>
    <x:xf numFmtId="0" fontId="5" fillId="6" borderId="10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204" fontId="1" fillId="6" borderId="0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201" fontId="1" fillId="6" borderId="2" xfId="0" applyNumberFormat="1" applyFont="1" applyFill="1" applyBorder="1" applyAlignment="1">
      <x:alignment vertical="center"/>
    </x:xf>
    <x:xf numFmtId="204" fontId="1" fillId="6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1" fontId="1" fillId="6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0" fontId="1" fillId="7" borderId="2" xfId="0" applyNumberFormat="1" applyFont="1" applyFill="1" applyBorder="1" applyAlignment="1">
      <x:alignment vertical="center"/>
    </x:xf>
    <x:xf numFmtId="202" fontId="1" fillId="7" borderId="2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4" fontId="1" fillId="5" borderId="2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6" fillId="8" borderId="11" xfId="0" applyNumberFormat="1" applyFont="1" applyFill="1" applyBorder="1" applyAlignment="1">
      <x:alignment vertical="center"/>
    </x:xf>
    <x:xf numFmtId="0" fontId="6" fillId="8" borderId="12" xfId="0" applyNumberFormat="1" applyFont="1" applyFill="1" applyBorder="1" applyAlignment="1">
      <x:alignment vertical="center"/>
    </x:xf>
    <x:xf numFmtId="0" fontId="6" fillId="8" borderId="13" xfId="0" applyNumberFormat="1" applyFont="1" applyFill="1" applyBorder="1" applyAlignment="1">
      <x:alignment vertical="center"/>
    </x:xf>
    <x:xf numFmtId="0" fontId="6" fillId="8" borderId="14" xfId="0" applyNumberFormat="1" applyFont="1" applyFill="1" applyBorder="1" applyAlignment="1">
      <x:alignment vertical="center"/>
    </x:xf>
    <x:xf numFmtId="0" fontId="6" fillId="8" borderId="15" xfId="0" applyNumberFormat="1" applyFont="1" applyFill="1" applyBorder="1" applyAlignment="1">
      <x:alignment vertical="center"/>
    </x:xf>
    <x:xf numFmtId="0" fontId="6" fillId="8" borderId="16" xfId="0" applyNumberFormat="1" applyFont="1" applyFill="1" applyBorder="1" applyAlignment="1">
      <x:alignment vertical="center"/>
    </x:xf>
    <x:xf numFmtId="0" fontId="6" fillId="8" borderId="17" xfId="0" applyNumberFormat="1" applyFont="1" applyFill="1" applyBorder="1" applyAlignment="1">
      <x:alignment vertical="center"/>
    </x:xf>
    <x:xf numFmtId="0" fontId="6" fillId="8" borderId="18" xfId="0" applyNumberFormat="1" applyFont="1" applyFill="1" applyBorder="1" applyAlignment="1">
      <x:alignment vertical="center"/>
    </x:xf>
    <x:xf numFmtId="0" fontId="6" fillId="8" borderId="11" xfId="0" applyNumberFormat="1" applyFont="1" applyFill="1" applyBorder="1" applyAlignment="1">
      <x:alignment vertical="center" wrapText="1"/>
    </x:xf>
    <x:xf numFmtId="0" fontId="6" fillId="8" borderId="12" xfId="0" applyNumberFormat="1" applyFont="1" applyFill="1" applyBorder="1" applyAlignment="1">
      <x:alignment vertical="center" wrapText="1"/>
    </x:xf>
    <x:xf numFmtId="0" fontId="6" fillId="8" borderId="13" xfId="0" applyNumberFormat="1" applyFont="1" applyFill="1" applyBorder="1" applyAlignment="1">
      <x:alignment vertical="center" wrapText="1"/>
    </x:xf>
    <x:xf numFmtId="0" fontId="6" fillId="8" borderId="14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6" fillId="8" borderId="15" xfId="0" applyNumberFormat="1" applyFont="1" applyFill="1" applyBorder="1" applyAlignment="1">
      <x:alignment vertical="center" wrapText="1"/>
    </x:xf>
    <x:xf numFmtId="0" fontId="6" fillId="8" borderId="16" xfId="0" applyNumberFormat="1" applyFont="1" applyFill="1" applyBorder="1" applyAlignment="1">
      <x:alignment vertical="center" wrapText="1"/>
    </x:xf>
    <x:xf numFmtId="0" fontId="6" fillId="8" borderId="17" xfId="0" applyNumberFormat="1" applyFont="1" applyFill="1" applyBorder="1" applyAlignment="1">
      <x:alignment vertical="center" wrapText="1"/>
    </x:xf>
    <x:xf numFmtId="0" fontId="6" fillId="8" borderId="18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2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1" fillId="8" borderId="11" xfId="0" applyNumberFormat="1" applyFont="1" applyFill="1" applyBorder="1" applyAlignment="1">
      <x:alignment vertical="center"/>
    </x:xf>
    <x:xf numFmtId="0" fontId="1" fillId="8" borderId="12" xfId="0" applyNumberFormat="1" applyFont="1" applyFill="1" applyBorder="1" applyAlignment="1">
      <x:alignment vertical="center"/>
    </x:xf>
    <x:xf numFmtId="0" fontId="1" fillId="8" borderId="13" xfId="0" applyNumberFormat="1" applyFont="1" applyFill="1" applyBorder="1" applyAlignment="1">
      <x:alignment vertical="center"/>
    </x:xf>
    <x:xf numFmtId="0" fontId="1" fillId="8" borderId="14" xfId="0" applyNumberFormat="1" applyFont="1" applyFill="1" applyBorder="1" applyAlignment="1">
      <x:alignment vertical="center"/>
    </x:xf>
    <x:xf numFmtId="0" fontId="1" fillId="8" borderId="15" xfId="0" applyNumberFormat="1" applyFont="1" applyFill="1" applyBorder="1" applyAlignment="1">
      <x:alignment vertical="center"/>
    </x:xf>
    <x:xf numFmtId="0" fontId="1" fillId="8" borderId="16" xfId="0" applyNumberFormat="1" applyFont="1" applyFill="1" applyBorder="1" applyAlignment="1">
      <x:alignment vertical="center"/>
    </x:xf>
    <x:xf numFmtId="0" fontId="1" fillId="8" borderId="17" xfId="0" applyNumberFormat="1" applyFont="1" applyFill="1" applyBorder="1" applyAlignment="1">
      <x:alignment vertical="center"/>
    </x:xf>
    <x:xf numFmtId="0" fontId="1" fillId="8" borderId="18" xfId="0" applyNumberFormat="1" applyFont="1" applyFill="1" applyBorder="1" applyAlignment="1">
      <x:alignment vertical="center"/>
    </x:xf>
    <x:xf numFmtId="0" fontId="7" fillId="8" borderId="11" xfId="0" applyNumberFormat="1" applyFont="1" applyFill="1" applyBorder="1" applyAlignment="1">
      <x:alignment vertical="center"/>
    </x:xf>
    <x:xf numFmtId="0" fontId="7" fillId="8" borderId="11" xfId="0" applyNumberFormat="1" applyFont="1" applyFill="1" applyBorder="1" applyAlignment="1">
      <x:alignment horizontal="center" vertical="center"/>
    </x:xf>
    <x:xf numFmtId="0" fontId="8" fillId="8" borderId="14" xfId="0" applyNumberFormat="1" applyFont="1" applyFill="1" applyBorder="1" applyAlignment="1">
      <x:alignment vertical="center"/>
    </x:xf>
    <x:xf numFmtId="205" fontId="8" fillId="8" borderId="14" xfId="0" applyNumberFormat="1" applyFont="1" applyFill="1" applyBorder="1" applyAlignment="1">
      <x:alignment vertical="center"/>
    </x:xf>
    <x:xf numFmtId="205" fontId="8" fillId="8" borderId="14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1" fillId="7" borderId="19" xfId="0" applyNumberFormat="1" applyFont="1" applyFill="1" applyBorder="1" applyAlignment="1">
      <x:alignment vertical="center"/>
    </x:xf>
    <x:xf numFmtId="0" fontId="1" fillId="7" borderId="20" xfId="0" applyNumberFormat="1" applyFont="1" applyFill="1" applyBorder="1" applyAlignment="1">
      <x:alignment vertical="center"/>
    </x:xf>
    <x:xf numFmtId="0" fontId="1" fillId="7" borderId="21" xfId="0" applyNumberFormat="1" applyFont="1" applyFill="1" applyBorder="1" applyAlignment="1">
      <x:alignment vertical="center"/>
    </x:xf>
    <x:xf numFmtId="0" fontId="1" fillId="7" borderId="22" xfId="0" applyNumberFormat="1" applyFont="1" applyFill="1" applyBorder="1" applyAlignment="1">
      <x:alignment vertical="center"/>
    </x:xf>
    <x:xf numFmtId="0" fontId="1" fillId="7" borderId="23" xfId="0" applyNumberFormat="1" applyFont="1" applyFill="1" applyBorder="1" applyAlignment="1">
      <x:alignment vertical="center"/>
    </x:xf>
    <x:xf numFmtId="0" fontId="1" fillId="7" borderId="24" xfId="0" applyNumberFormat="1" applyFont="1" applyFill="1" applyBorder="1" applyAlignment="1">
      <x:alignment vertical="center"/>
    </x:xf>
    <x:xf numFmtId="0" fontId="1" fillId="7" borderId="25" xfId="0" applyNumberFormat="1" applyFont="1" applyFill="1" applyBorder="1" applyAlignment="1">
      <x:alignment vertical="center"/>
    </x:xf>
    <x:xf numFmtId="0" fontId="1" fillId="7" borderId="26" xfId="0" applyNumberFormat="1" applyFont="1" applyFill="1" applyBorder="1" applyAlignment="1">
      <x:alignment vertical="center"/>
    </x:xf>
    <x:xf numFmtId="0" fontId="7" fillId="7" borderId="19" xfId="0" applyNumberFormat="1" applyFont="1" applyFill="1" applyBorder="1" applyAlignment="1">
      <x:alignment vertical="center"/>
    </x:xf>
    <x:xf numFmtId="0" fontId="7" fillId="7" borderId="19" xfId="0" applyNumberFormat="1" applyFont="1" applyFill="1" applyBorder="1" applyAlignment="1">
      <x:alignment horizontal="center" vertical="center"/>
    </x:xf>
    <x:xf numFmtId="0" fontId="9" fillId="7" borderId="22" xfId="0" applyNumberFormat="1" applyFont="1" applyFill="1" applyBorder="1" applyAlignment="1">
      <x:alignment vertical="center"/>
    </x:xf>
    <x:xf numFmtId="205" fontId="9" fillId="7" borderId="22" xfId="0" applyNumberFormat="1" applyFont="1" applyFill="1" applyBorder="1" applyAlignment="1">
      <x:alignment vertical="center"/>
    </x:xf>
    <x:xf numFmtId="205" fontId="9" fillId="7" borderId="22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vertical="center"/>
    </x:xf>
    <x:xf numFmtId="0" fontId="1" fillId="9" borderId="27" xfId="0" applyNumberFormat="1" applyFont="1" applyFill="1" applyBorder="1" applyAlignment="1">
      <x:alignment vertical="center"/>
    </x:xf>
    <x:xf numFmtId="0" fontId="1" fillId="9" borderId="28" xfId="0" applyNumberFormat="1" applyFont="1" applyFill="1" applyBorder="1" applyAlignment="1">
      <x:alignment vertical="center"/>
    </x:xf>
    <x:xf numFmtId="0" fontId="1" fillId="9" borderId="29" xfId="0" applyNumberFormat="1" applyFont="1" applyFill="1" applyBorder="1" applyAlignment="1">
      <x:alignment vertical="center"/>
    </x:xf>
    <x:xf numFmtId="0" fontId="1" fillId="9" borderId="30" xfId="0" applyNumberFormat="1" applyFont="1" applyFill="1" applyBorder="1" applyAlignment="1">
      <x:alignment vertical="center"/>
    </x:xf>
    <x:xf numFmtId="0" fontId="1" fillId="9" borderId="31" xfId="0" applyNumberFormat="1" applyFont="1" applyFill="1" applyBorder="1" applyAlignment="1">
      <x:alignment vertical="center"/>
    </x:xf>
    <x:xf numFmtId="0" fontId="1" fillId="9" borderId="32" xfId="0" applyNumberFormat="1" applyFont="1" applyFill="1" applyBorder="1" applyAlignment="1">
      <x:alignment vertical="center"/>
    </x:xf>
    <x:xf numFmtId="0" fontId="1" fillId="9" borderId="33" xfId="0" applyNumberFormat="1" applyFont="1" applyFill="1" applyBorder="1" applyAlignment="1">
      <x:alignment vertical="center"/>
    </x:xf>
    <x:xf numFmtId="0" fontId="1" fillId="9" borderId="34" xfId="0" applyNumberFormat="1" applyFont="1" applyFill="1" applyBorder="1" applyAlignment="1">
      <x:alignment vertical="center"/>
    </x:xf>
    <x:xf numFmtId="0" fontId="7" fillId="9" borderId="27" xfId="0" applyNumberFormat="1" applyFont="1" applyFill="1" applyBorder="1" applyAlignment="1">
      <x:alignment vertical="center"/>
    </x:xf>
    <x:xf numFmtId="0" fontId="7" fillId="9" borderId="27" xfId="0" applyNumberFormat="1" applyFont="1" applyFill="1" applyBorder="1" applyAlignment="1">
      <x:alignment horizontal="center" vertical="center"/>
    </x:xf>
    <x:xf numFmtId="0" fontId="10" fillId="9" borderId="30" xfId="0" applyNumberFormat="1" applyFont="1" applyFill="1" applyBorder="1" applyAlignment="1">
      <x:alignment vertical="center"/>
    </x:xf>
    <x:xf numFmtId="206" fontId="10" fillId="9" borderId="30" xfId="0" applyNumberFormat="1" applyFont="1" applyFill="1" applyBorder="1" applyAlignment="1">
      <x:alignment vertical="center"/>
    </x:xf>
    <x:xf numFmtId="206" fontId="10" fillId="9" borderId="30" xfId="0" applyNumberFormat="1" applyFont="1" applyFill="1" applyBorder="1" applyAlignment="1">
      <x:alignment horizontal="center" vertical="center"/>
    </x:xf>
    <x:xf numFmtId="0" fontId="1" fillId="6" borderId="3" xfId="0" applyNumberFormat="1" applyFont="1" applyFill="1" applyBorder="1" applyAlignment="1">
      <x:alignment vertical="center"/>
    </x:xf>
    <x:xf numFmtId="0" fontId="1" fillId="6" borderId="4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/>
    </x:xf>
    <x:xf numFmtId="0" fontId="1" fillId="6" borderId="7" xfId="0" applyNumberFormat="1" applyFont="1" applyFill="1" applyBorder="1" applyAlignment="1">
      <x:alignment vertical="center"/>
    </x:xf>
    <x:xf numFmtId="0" fontId="1" fillId="6" borderId="8" xfId="0" applyNumberFormat="1" applyFont="1" applyFill="1" applyBorder="1" applyAlignment="1">
      <x:alignment vertical="center"/>
    </x:xf>
    <x:xf numFmtId="0" fontId="1" fillId="6" borderId="9" xfId="0" applyNumberFormat="1" applyFont="1" applyFill="1" applyBorder="1" applyAlignment="1">
      <x:alignment vertical="center"/>
    </x:xf>
    <x:xf numFmtId="0" fontId="1" fillId="6" borderId="10" xfId="0" applyNumberFormat="1" applyFont="1" applyFill="1" applyBorder="1" applyAlignment="1">
      <x:alignment vertical="center"/>
    </x:xf>
    <x:xf numFmtId="0" fontId="7" fillId="6" borderId="3" xfId="0" applyNumberFormat="1" applyFont="1" applyFill="1" applyBorder="1" applyAlignment="1">
      <x:alignment vertical="center"/>
    </x:xf>
    <x:xf numFmtId="0" fontId="7" fillId="6" borderId="3" xfId="0" applyNumberFormat="1" applyFont="1" applyFill="1" applyBorder="1" applyAlignment="1">
      <x:alignment horizontal="center" vertical="center"/>
    </x:xf>
    <x:xf numFmtId="0" fontId="11" fillId="6" borderId="6" xfId="0" applyNumberFormat="1" applyFont="1" applyFill="1" applyBorder="1" applyAlignment="1">
      <x:alignment vertical="center"/>
    </x:xf>
    <x:xf numFmtId="205" fontId="11" fillId="6" borderId="6" xfId="0" applyNumberFormat="1" applyFont="1" applyFill="1" applyBorder="1" applyAlignment="1">
      <x:alignment vertical="center"/>
    </x:xf>
    <x:xf numFmtId="205" fontId="11" fillId="6" borderId="6" xfId="0" applyNumberFormat="1" applyFont="1" applyFill="1" applyBorder="1" applyAlignment="1">
      <x:alignment horizontal="center" vertical="center"/>
    </x:xf>
    <x:xf numFmtId="0" fontId="12" fillId="7" borderId="0" xfId="0" applyNumberFormat="1" applyFont="1" applyFill="1" applyBorder="1" applyAlignment="1">
      <x:alignment vertical="center"/>
    </x:xf>
    <x:xf numFmtId="0" fontId="12" fillId="7" borderId="19" xfId="0" applyNumberFormat="1" applyFont="1" applyFill="1" applyBorder="1" applyAlignment="1">
      <x:alignment vertical="center"/>
    </x:xf>
    <x:xf numFmtId="0" fontId="12" fillId="7" borderId="20" xfId="0" applyNumberFormat="1" applyFont="1" applyFill="1" applyBorder="1" applyAlignment="1">
      <x:alignment vertical="center"/>
    </x:xf>
    <x:xf numFmtId="0" fontId="12" fillId="7" borderId="21" xfId="0" applyNumberFormat="1" applyFont="1" applyFill="1" applyBorder="1" applyAlignment="1">
      <x:alignment vertical="center"/>
    </x:xf>
    <x:xf numFmtId="0" fontId="12" fillId="7" borderId="22" xfId="0" applyNumberFormat="1" applyFont="1" applyFill="1" applyBorder="1" applyAlignment="1">
      <x:alignment vertical="center"/>
    </x:xf>
    <x:xf numFmtId="0" fontId="12" fillId="7" borderId="23" xfId="0" applyNumberFormat="1" applyFont="1" applyFill="1" applyBorder="1" applyAlignment="1">
      <x:alignment vertical="center"/>
    </x:xf>
    <x:xf numFmtId="0" fontId="12" fillId="7" borderId="24" xfId="0" applyNumberFormat="1" applyFont="1" applyFill="1" applyBorder="1" applyAlignment="1">
      <x:alignment vertical="center"/>
    </x:xf>
    <x:xf numFmtId="0" fontId="12" fillId="7" borderId="25" xfId="0" applyNumberFormat="1" applyFont="1" applyFill="1" applyBorder="1" applyAlignment="1">
      <x:alignment vertical="center"/>
    </x:xf>
    <x:xf numFmtId="0" fontId="12" fillId="7" borderId="26" xfId="0" applyNumberFormat="1" applyFont="1" applyFill="1" applyBorder="1" applyAlignment="1">
      <x:alignment vertical="center"/>
    </x:xf>
    <x:xf numFmtId="0" fontId="12" fillId="7" borderId="19" xfId="0" applyNumberFormat="1" applyFont="1" applyFill="1" applyBorder="1" applyAlignment="1">
      <x:alignment vertical="center" wrapText="1"/>
    </x:xf>
    <x:xf numFmtId="0" fontId="12" fillId="7" borderId="20" xfId="0" applyNumberFormat="1" applyFont="1" applyFill="1" applyBorder="1" applyAlignment="1">
      <x:alignment vertical="center" wrapText="1"/>
    </x:xf>
    <x:xf numFmtId="0" fontId="12" fillId="7" borderId="21" xfId="0" applyNumberFormat="1" applyFont="1" applyFill="1" applyBorder="1" applyAlignment="1">
      <x:alignment vertical="center" wrapText="1"/>
    </x:xf>
    <x:xf numFmtId="0" fontId="12" fillId="7" borderId="22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2" fillId="7" borderId="23" xfId="0" applyNumberFormat="1" applyFont="1" applyFill="1" applyBorder="1" applyAlignment="1">
      <x:alignment vertical="center" wrapText="1"/>
    </x:xf>
    <x:xf numFmtId="0" fontId="12" fillId="7" borderId="24" xfId="0" applyNumberFormat="1" applyFont="1" applyFill="1" applyBorder="1" applyAlignment="1">
      <x:alignment vertical="center" wrapText="1"/>
    </x:xf>
    <x:xf numFmtId="0" fontId="12" fillId="7" borderId="25" xfId="0" applyNumberFormat="1" applyFont="1" applyFill="1" applyBorder="1" applyAlignment="1">
      <x:alignment vertical="center" wrapText="1"/>
    </x:xf>
    <x:xf numFmtId="0" fontId="12" fillId="7" borderId="26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vertical="center"/>
    </x:xf>
    <x:xf numFmtId="0" fontId="13" fillId="6" borderId="3" xfId="0" applyNumberFormat="1" applyFont="1" applyFill="1" applyBorder="1" applyAlignment="1">
      <x:alignment vertical="center"/>
    </x:xf>
    <x:xf numFmtId="0" fontId="13" fillId="6" borderId="4" xfId="0" applyNumberFormat="1" applyFont="1" applyFill="1" applyBorder="1" applyAlignment="1">
      <x:alignment vertical="center"/>
    </x:xf>
    <x:xf numFmtId="0" fontId="13" fillId="6" borderId="5" xfId="0" applyNumberFormat="1" applyFont="1" applyFill="1" applyBorder="1" applyAlignment="1">
      <x:alignment vertical="center"/>
    </x:xf>
    <x:xf numFmtId="0" fontId="13" fillId="6" borderId="6" xfId="0" applyNumberFormat="1" applyFont="1" applyFill="1" applyBorder="1" applyAlignment="1">
      <x:alignment vertical="center"/>
    </x:xf>
    <x:xf numFmtId="0" fontId="13" fillId="6" borderId="7" xfId="0" applyNumberFormat="1" applyFont="1" applyFill="1" applyBorder="1" applyAlignment="1">
      <x:alignment vertical="center"/>
    </x:xf>
    <x:xf numFmtId="0" fontId="13" fillId="6" borderId="8" xfId="0" applyNumberFormat="1" applyFont="1" applyFill="1" applyBorder="1" applyAlignment="1">
      <x:alignment vertical="center"/>
    </x:xf>
    <x:xf numFmtId="0" fontId="13" fillId="6" borderId="9" xfId="0" applyNumberFormat="1" applyFont="1" applyFill="1" applyBorder="1" applyAlignment="1">
      <x:alignment vertical="center"/>
    </x:xf>
    <x:xf numFmtId="0" fontId="13" fillId="6" borderId="10" xfId="0" applyNumberFormat="1" applyFont="1" applyFill="1" applyBorder="1" applyAlignment="1">
      <x:alignment vertical="center"/>
    </x:xf>
    <x:xf numFmtId="0" fontId="13" fillId="6" borderId="3" xfId="0" applyNumberFormat="1" applyFont="1" applyFill="1" applyBorder="1" applyAlignment="1">
      <x:alignment vertical="center" wrapText="1"/>
    </x:xf>
    <x:xf numFmtId="0" fontId="13" fillId="6" borderId="4" xfId="0" applyNumberFormat="1" applyFont="1" applyFill="1" applyBorder="1" applyAlignment="1">
      <x:alignment vertical="center" wrapText="1"/>
    </x:xf>
    <x:xf numFmtId="0" fontId="13" fillId="6" borderId="5" xfId="0" applyNumberFormat="1" applyFont="1" applyFill="1" applyBorder="1" applyAlignment="1">
      <x:alignment vertical="center" wrapText="1"/>
    </x:xf>
    <x:xf numFmtId="0" fontId="13" fillId="6" borderId="6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vertical="center" wrapText="1"/>
    </x:xf>
    <x:xf numFmtId="0" fontId="13" fillId="6" borderId="7" xfId="0" applyNumberFormat="1" applyFont="1" applyFill="1" applyBorder="1" applyAlignment="1">
      <x:alignment vertical="center" wrapText="1"/>
    </x:xf>
    <x:xf numFmtId="0" fontId="13" fillId="6" borderId="8" xfId="0" applyNumberFormat="1" applyFont="1" applyFill="1" applyBorder="1" applyAlignment="1">
      <x:alignment vertical="center" wrapText="1"/>
    </x:xf>
    <x:xf numFmtId="0" fontId="13" fillId="6" borderId="9" xfId="0" applyNumberFormat="1" applyFont="1" applyFill="1" applyBorder="1" applyAlignment="1">
      <x:alignment vertical="center" wrapText="1"/>
    </x:xf>
    <x:xf numFmtId="0" fontId="13" fillId="6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C0392B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5d45096ee459d" /><Relationship Type="http://schemas.openxmlformats.org/officeDocument/2006/relationships/theme" Target="/xl/theme/theme1.xml" Id="Rf25046db407d4af1" /><Relationship Type="http://schemas.openxmlformats.org/officeDocument/2006/relationships/sharedStrings" Target="/xl/sharedStrings.xml" Id="R484d5eb16ae2496c" /><Relationship Type="http://schemas.openxmlformats.org/officeDocument/2006/relationships/worksheet" Target="/xl/worksheets/sheet1.xml" Id="R830a910b797c44ea" /><Relationship Type="http://schemas.openxmlformats.org/officeDocument/2006/relationships/worksheet" Target="/xl/worksheets/sheet2.xml" Id="R1e455089adee47ea" /><Relationship Type="http://schemas.openxmlformats.org/officeDocument/2006/relationships/worksheet" Target="/xl/worksheets/sheet3.xml" Id="R009852793864467b" /><Relationship Type="http://schemas.openxmlformats.org/officeDocument/2006/relationships/worksheet" Target="/xl/worksheets/sheet4.xml" Id="R095d056a93ee4a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198a207b9b4f4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2294d620f094aac" /><Relationship Type="http://schemas.openxmlformats.org/officeDocument/2006/relationships/chart" Target="/xl/drawings/charts/chart3.xml" Id="R74fb1fe0b1cf4f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Capacité cumulée et demande (u/jour)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Capacité u/j</c:v>
          </c:tx>
          <c:cat>
            <c:strRef>
              <c:f>'Synthèse'!$H$21:$H$25</c:f>
              <c:strCache>
                <c:ptCount val="0"/>
              </c:strCache>
            </c:strRef>
          </c:cat>
          <c:val>
            <c:numRef>
              <c:f>'Synthèse'!$I$21:$I$25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Demande u/j</c:v>
          </c:tx>
          <c:cat>
            <c:strRef>
              <c:f>'Synthèse'!$H$21:$H$25</c:f>
              <c:strCache>
                <c:ptCount val="0"/>
              </c:strCache>
            </c:strRef>
          </c:cat>
          <c:val>
            <c:numRef>
              <c:f>'Synthèse'!$J$21:$J$25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Capacité cumulée face à la demande (u/jour)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Capacité u/j</c:v>
          </c:tx>
          <c:cat>
            <c:strRef>
              <c:f>'Scénario amélioré'!$H$14:$H$18</c:f>
              <c:strCache>
                <c:ptCount val="0"/>
              </c:strCache>
            </c:strRef>
          </c:cat>
          <c:val>
            <c:numRef>
              <c:f>'Scénario amélioré'!$I$14:$I$18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Demande u/j</c:v>
          </c:tx>
          <c:cat>
            <c:strRef>
              <c:f>'Scénario amélioré'!$H$14:$H$18</c:f>
              <c:strCache>
                <c:ptCount val="0"/>
              </c:strCache>
            </c:strRef>
          </c:cat>
          <c:val>
            <c:numRef>
              <c:f>'Scénario amélioré'!$J$14:$J$18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Cycles standards par poste (s)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Actuel (s)</c:v>
          </c:tx>
          <c:cat>
            <c:strRef>
              <c:f>'Scénario amélioré'!$A$37:$A$43</c:f>
              <c:strCache>
                <c:ptCount val="0"/>
              </c:strCache>
            </c:strRef>
          </c:cat>
          <c:val>
            <c:numRef>
              <c:f>'Scénario amélioré'!$B$37:$B$43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Équilibré (s)</c:v>
          </c:tx>
          <c:cat>
            <c:strRef>
              <c:f>'Scénario amélioré'!$A$37:$A$43</c:f>
              <c:strCache>
                <c:ptCount val="0"/>
              </c:strCache>
            </c:strRef>
          </c:cat>
          <c:val>
            <c:numRef>
              <c:f>'Scénario amélioré'!$C$37:$C$43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27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198a207b9b4f4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19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294d620f094aac"/>
        </a:graphicData>
      </a:graphic>
    </xdr:graphicFrame>
    <xdr:clientData/>
  </xdr:twoCellAnchor>
  <xdr:twoCellAnchor>
    <xdr:from>
      <xdr:col>4</xdr:col>
      <xdr:colOff>0</xdr:colOff>
      <xdr:row>34</xdr:row>
      <xdr:rowOff>0</xdr:rowOff>
    </xdr:from>
    <xdr:to>
      <xdr:col>13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fb1fe0b1cf4f5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b318968c4b4b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0ba6eec37f24e24" /></Relationships>
</file>

<file path=xl/worksheets/sheet1.xml><?xml version="1.0" encoding="utf-8"?>
<x:worksheet xmlns:x="http://schemas.openxmlformats.org/spreadsheetml/2006/main">
  <x:sheetPr>
    <x:tabColor rgb="FF0A1F33"/>
  </x:sheetPr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28" hidden="0" customWidth="1"/>
    <x:col min="4" max="4" width="14" hidden="0" customWidth="1"/>
    <x:col min="5" max="5" width="18" hidden="0" customWidth="1"/>
    <x:col min="6" max="6" width="20" hidden="0" customWidth="1"/>
    <x:col min="7" max="7" width="15" hidden="0" customWidth="1"/>
    <x:col min="8" max="8" width="18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3" t="str">
        <x:v>J15 - Line Improvement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2" customHeight="1">
      <x:c r="A4" s="5" t="str">
        <x:v>Scénario amélioré et plan d’actions priorisé pour le flux EMA-120.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A6" s="91" t="str">
        <x:v>CAPACITÉ ACTUELLE</x:v>
      </x:c>
      <x:c r="B6" s="83"/>
      <x:c r="C6" s="84"/>
      <x:c r="D6" s="105" t="str">
        <x:v>SCÉNARIO ENGAGÉ</x:v>
      </x:c>
      <x:c r="E6" s="97"/>
      <x:c r="F6" s="98"/>
      <x:c r="G6" s="119" t="str">
        <x:v>DEMANDE CLIENT</x:v>
      </x:c>
      <x:c r="H6" s="111"/>
      <x:c r="I6" s="112"/>
      <x:c r="J6" s="132" t="str">
        <x:v>ÉCART RÉSIDUEL</x:v>
      </x:c>
      <x:c r="K6" s="124"/>
      <x:c r="L6" s="125"/>
    </x:row>
    <x:row r="7">
      <x:c r="A7" s="85"/>
      <x:c r="B7" s="55"/>
      <x:c r="C7" s="86"/>
      <x:c r="D7" s="99"/>
      <x:c r="E7" s="95"/>
      <x:c r="F7" s="100"/>
      <x:c r="G7" s="113"/>
      <x:c r="H7" s="109"/>
      <x:c r="I7" s="114"/>
      <x:c r="J7" s="126"/>
      <x:c r="K7" s="25"/>
      <x:c r="L7" s="127"/>
    </x:row>
    <x:row r="8">
      <x:c r="A8" s="94" t="n">
        <x:f>'Scénario amélioré'!D15</x:f>
        <x:v>160.285487555609</x:v>
      </x:c>
      <x:c r="B8" s="55"/>
      <x:c r="C8" s="86"/>
      <x:c r="D8" s="108" t="n">
        <x:f>'Scénario amélioré'!D19</x:f>
        <x:v>189.22005223862737</x:v>
      </x:c>
      <x:c r="E8" s="95"/>
      <x:c r="F8" s="100"/>
      <x:c r="G8" s="122" t="n">
        <x:f>Sources!B9</x:f>
        <x:v>210</x:v>
      </x:c>
      <x:c r="H8" s="109"/>
      <x:c r="I8" s="114"/>
      <x:c r="J8" s="135" t="n">
        <x:f>'Scénario amélioré'!E19</x:f>
        <x:v>-20.779947761372625</x:v>
      </x:c>
      <x:c r="K8" s="25"/>
      <x:c r="L8" s="127"/>
    </x:row>
    <x:row r="9">
      <x:c r="A9" s="87"/>
      <x:c r="B9" s="88"/>
      <x:c r="C9" s="89"/>
      <x:c r="D9" s="101"/>
      <x:c r="E9" s="102"/>
      <x:c r="F9" s="103"/>
      <x:c r="G9" s="115"/>
      <x:c r="H9" s="116"/>
      <x:c r="I9" s="117"/>
      <x:c r="J9" s="128"/>
      <x:c r="K9" s="129"/>
      <x:c r="L9" s="130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3" customHeight="1">
      <x:c r="A12" s="7" t="str">
        <x:v>Décision</x:v>
      </x:c>
      <x:c r="B12" s="7"/>
      <x:c r="C12" s="7"/>
      <x:c r="D12" s="7"/>
      <x:c r="E12" s="7"/>
      <x:c r="F12" s="7"/>
      <x:c r="G12" s="7" t="str">
        <x:v>Avertissement</x:v>
      </x:c>
      <x:c r="H12" s="7"/>
      <x:c r="I12" s="7"/>
      <x:c r="J12" s="7"/>
      <x:c r="K12" s="7"/>
      <x:c r="L12" s="7"/>
    </x:row>
    <x:row r="13">
      <x:c r="A13" s="145" t="str">
        <x:f>"Le plan porte la capacité de "&amp;TEXT('Scénario amélioré'!D15,"0.0")&amp;" à "&amp;TEXT('Scénario amélioré'!D19,"0.0")&amp;" u/j. Le gain est réel dans le modèle, mais la demande de 210 u/j n’est pas atteinte."</x:f>
        <x:v>Le plan porte la capacité de 160.3 à 189.2 u/j. Le gain est réel dans le modèle, mais la demande de 210 u/j n’est pas atteinte.</x:v>
      </x:c>
      <x:c r="B13" s="146"/>
      <x:c r="C13" s="146"/>
      <x:c r="D13" s="146"/>
      <x:c r="E13" s="146"/>
      <x:c r="F13" s="147"/>
      <x:c r="G13" s="65" t="str">
        <x:v>Même avec 100 % des pertes ciblées par la maintenance et la qualité récupérées, la capacité calculée reste sous 210 u/j. Il faut donc mesurer le pilote puis étudier une réduction structurelle ou une capacité parallèle à ST50.</x:v>
      </x:c>
      <x:c r="H13" s="66"/>
      <x:c r="I13" s="66"/>
      <x:c r="J13" s="66"/>
      <x:c r="K13" s="66"/>
      <x:c r="L13" s="67"/>
    </x:row>
    <x:row r="14">
      <x:c r="A14" s="148"/>
      <x:c r="B14" s="149"/>
      <x:c r="C14" s="149"/>
      <x:c r="D14" s="149"/>
      <x:c r="E14" s="149"/>
      <x:c r="F14" s="150"/>
      <x:c r="G14" s="68"/>
      <x:c r="H14" s="69"/>
      <x:c r="I14" s="69"/>
      <x:c r="J14" s="69"/>
      <x:c r="K14" s="69"/>
      <x:c r="L14" s="70"/>
    </x:row>
    <x:row r="15">
      <x:c r="A15" s="148"/>
      <x:c r="B15" s="149"/>
      <x:c r="C15" s="149"/>
      <x:c r="D15" s="149"/>
      <x:c r="E15" s="149"/>
      <x:c r="F15" s="150"/>
      <x:c r="G15" s="68"/>
      <x:c r="H15" s="69"/>
      <x:c r="I15" s="69"/>
      <x:c r="J15" s="69"/>
      <x:c r="K15" s="69"/>
      <x:c r="L15" s="70"/>
    </x:row>
    <x:row r="16">
      <x:c r="A16" s="148"/>
      <x:c r="B16" s="149"/>
      <x:c r="C16" s="149"/>
      <x:c r="D16" s="149"/>
      <x:c r="E16" s="149"/>
      <x:c r="F16" s="150"/>
      <x:c r="G16" s="68"/>
      <x:c r="H16" s="69"/>
      <x:c r="I16" s="69"/>
      <x:c r="J16" s="69"/>
      <x:c r="K16" s="69"/>
      <x:c r="L16" s="70"/>
    </x:row>
    <x:row r="17">
      <x:c r="A17" s="151"/>
      <x:c r="B17" s="152"/>
      <x:c r="C17" s="152"/>
      <x:c r="D17" s="152"/>
      <x:c r="E17" s="152"/>
      <x:c r="F17" s="153"/>
      <x:c r="G17" s="71"/>
      <x:c r="H17" s="72"/>
      <x:c r="I17" s="72"/>
      <x:c r="J17" s="72"/>
      <x:c r="K17" s="72"/>
      <x:c r="L17" s="73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8" customHeight="1">
      <x:c r="A20" s="7" t="str">
        <x:v>Cinq actions fortes</x:v>
      </x:c>
      <x:c r="B20" s="7"/>
      <x:c r="C20" s="7"/>
      <x:c r="D20" s="7"/>
      <x:c r="E20" s="7"/>
      <x:c r="F20" s="7"/>
      <x:c r="G20" s="2"/>
      <x:c r="H20" s="12" t="str">
        <x:v>Étape</x:v>
      </x:c>
      <x:c r="I20" s="12" t="str">
        <x:v>Capacité u/j</x:v>
      </x:c>
      <x:c r="J20" s="12" t="str">
        <x:v>Demande u/j</x:v>
      </x:c>
      <x:c r="K20" s="2"/>
      <x:c r="L20" s="2"/>
    </x:row>
    <x:row r="21" ht="28" customHeight="1">
      <x:c r="A21" s="12" t="str">
        <x:v>Ordre</x:v>
      </x:c>
      <x:c r="B21" s="12" t="str">
        <x:v>Action</x:v>
      </x:c>
      <x:c r="C21" s="12" t="str">
        <x:v>Perte mesurée</x:v>
      </x:c>
      <x:c r="D21" s="12" t="str">
        <x:v>Gain s/u</x:v>
      </x:c>
      <x:c r="E21" s="12" t="str">
        <x:v>Horizon</x:v>
      </x:c>
      <x:c r="F21" s="12" t="str">
        <x:v>Statut</x:v>
      </x:c>
      <x:c r="G21" s="2"/>
      <x:c r="H21" s="13" t="str">
        <x:v>Actuel</x:v>
      </x:c>
      <x:c r="I21" s="23" t="n">
        <x:f>'Scénario amélioré'!D15</x:f>
        <x:v>160.285487555609</x:v>
      </x:c>
      <x:c r="J21" s="23" t="n">
        <x:f>Sources!B9</x:f>
        <x:v>210</x:v>
      </x:c>
      <x:c r="K21" s="2"/>
      <x:c r="L21" s="2"/>
    </x:row>
    <x:row r="22" ht="37" customHeight="1">
      <x:c r="A22" s="21" t="n">
        <x:f>'Plan actions'!A8</x:f>
        <x:v>1</x:v>
      </x:c>
      <x:c r="B22" s="21" t="str">
        <x:f>'Plan actions'!B8</x:f>
        <x:v>Plafonner le FIFO avant ST50</x:v>
      </x:c>
      <x:c r="C22" s="21" t="str">
        <x:f>'Plan actions'!C8</x:f>
        <x:v>664 u de WIP, soit 3,16 jours de demande</x:v>
      </x:c>
      <x:c r="D22" s="76" t="n">
        <x:f>'Plan actions'!E8</x:f>
        <x:v>0</x:v>
      </x:c>
      <x:c r="E22" s="21" t="str">
        <x:f>'Plan actions'!G8</x:f>
        <x:v>Immédiat</x:v>
      </x:c>
      <x:c r="F22" s="21" t="str">
        <x:f>'Plan actions'!K8</x:f>
        <x:v>Proposé</x:v>
      </x:c>
      <x:c r="G22" s="2"/>
      <x:c r="H22" s="13" t="str">
        <x:v>Équilibrage</x:v>
      </x:c>
      <x:c r="I22" s="23" t="n">
        <x:f>'Scénario amélioré'!D16</x:f>
        <x:v>178.47436737985058</x:v>
      </x:c>
      <x:c r="J22" s="23" t="n">
        <x:f>Sources!B9</x:f>
        <x:v>210</x:v>
      </x:c>
      <x:c r="K22" s="2"/>
      <x:c r="L22" s="2"/>
    </x:row>
    <x:row r="23" ht="37" customHeight="1">
      <x:c r="A23" s="21" t="n">
        <x:f>'Plan actions'!A9</x:f>
        <x:v>2</x:v>
      </x:c>
      <x:c r="B23" s="21" t="str">
        <x:f>'Plan actions'!B9</x:f>
        <x:v>Rééquilibrer le travail ST50</x:v>
      </x:c>
      <x:c r="C23" s="21" t="str">
        <x:f>'Plan actions'!C9</x:f>
        <x:v>CT standard 285 s contre takt 251,4 s</x:v>
      </x:c>
      <x:c r="D23" s="76" t="n">
        <x:f>'Plan actions'!E9</x:f>
        <x:v>33.571428571428584</x:v>
      </x:c>
      <x:c r="E23" s="21" t="str">
        <x:f>'Plan actions'!G9</x:f>
        <x:v>2 semaines</x:v>
      </x:c>
      <x:c r="F23" s="21" t="str">
        <x:f>'Plan actions'!K9</x:f>
        <x:v>Pilote requis</x:v>
      </x:c>
      <x:c r="G23" s="2"/>
      <x:c r="H23" s="13" t="str">
        <x:v>+ SMED</x:v>
      </x:c>
      <x:c r="I23" s="23" t="n">
        <x:f>'Scénario amélioré'!D17</x:f>
        <x:v>185.16772456073656</x:v>
      </x:c>
      <x:c r="J23" s="23" t="n">
        <x:f>Sources!B9</x:f>
        <x:v>210</x:v>
      </x:c>
      <x:c r="K23" s="2"/>
      <x:c r="L23" s="2"/>
    </x:row>
    <x:row r="24" ht="37" customHeight="1">
      <x:c r="A24" s="21" t="n">
        <x:f>'Plan actions'!A10</x:f>
        <x:v>3</x:v>
      </x:c>
      <x:c r="B24" s="21" t="str">
        <x:f>'Plan actions'!B10</x:f>
        <x:v>Déployer le standard SMED</x:v>
      </x:c>
      <x:c r="C24" s="21" t="str">
        <x:f>'Plan actions'!C10</x:f>
        <x:v>67 500 s de changeover; 72,2 % des arrêts ST50</x:v>
      </x:c>
      <x:c r="D24" s="76" t="n">
        <x:f>'Plan actions'!E10</x:f>
        <x:v>10.693916349809886</x:v>
      </x:c>
      <x:c r="E24" s="21" t="str">
        <x:f>'Plan actions'!G10</x:f>
        <x:v>2 semaines</x:v>
      </x:c>
      <x:c r="F24" s="21" t="str">
        <x:f>'Plan actions'!K10</x:f>
        <x:v>Standard proposé</x:v>
      </x:c>
      <x:c r="G24" s="2"/>
      <x:c r="H24" s="13" t="str">
        <x:v>+ Maintenance</x:v>
      </x:c>
      <x:c r="I24" s="23" t="n">
        <x:f>'Scénario amélioré'!D18</x:f>
        <x:v>187.32621810430382</x:v>
      </x:c>
      <x:c r="J24" s="23" t="n">
        <x:f>Sources!B9</x:f>
        <x:v>210</x:v>
      </x:c>
      <x:c r="K24" s="2"/>
      <x:c r="L24" s="2"/>
    </x:row>
    <x:row r="25" ht="37" customHeight="1">
      <x:c r="A25" s="21" t="n">
        <x:f>'Plan actions'!A11</x:f>
        <x:v>4</x:v>
      </x:c>
      <x:c r="B25" s="21" t="str">
        <x:f>'Plan actions'!B11</x:f>
        <x:v>Maintenance ciblée ST50</x:v>
      </x:c>
      <x:c r="C25" s="21" t="str">
        <x:f>'Plan actions'!C11</x:f>
        <x:v>20 739 s capteur + équipement, 79,7 % des arrêts non planifiés</x:v>
      </x:c>
      <x:c r="D25" s="76" t="n">
        <x:f>'Plan actions'!E11</x:f>
        <x:v>3.2856463878326996</x:v>
      </x:c>
      <x:c r="E25" s="21" t="str">
        <x:f>'Plan actions'!G11</x:f>
        <x:v>1 semaine pilote</x:v>
      </x:c>
      <x:c r="F25" s="21" t="str">
        <x:f>'Plan actions'!K11</x:f>
        <x:v>Hypothèse 50 %</x:v>
      </x:c>
      <x:c r="G25" s="2"/>
      <x:c r="H25" s="14" t="str">
        <x:v>+ Qualité</x:v>
      </x:c>
      <x:c r="I25" s="24" t="n">
        <x:f>'Scénario amélioré'!D19</x:f>
        <x:v>189.22005223862737</x:v>
      </x:c>
      <x:c r="J25" s="24" t="n">
        <x:f>Sources!B9</x:f>
        <x:v>210</x:v>
      </x:c>
      <x:c r="K25" s="2"/>
      <x:c r="L25" s="2"/>
    </x:row>
    <x:row r="26" ht="37" customHeight="1">
      <x:c r="A26" s="22" t="n">
        <x:f>'Plan actions'!A12</x:f>
        <x:v>5</x:v>
      </x:c>
      <x:c r="B26" s="22" t="str">
        <x:f>'Plan actions'!B12</x:f>
        <x:v>MSA puis poka-yoke test</x:v>
      </x:c>
      <x:c r="C26" s="22" t="str">
        <x:f>'Plan actions'!C12</x:f>
        <x:v>53 défauts sur 68 pour QL-C06/C07/C08, soit 77,9 %</x:v>
      </x:c>
      <x:c r="D26" s="77" t="n">
        <x:f>'Plan actions'!E12</x:f>
        <x:v>2.8210458137627676</x:v>
      </x:c>
      <x:c r="E26" s="22" t="str">
        <x:f>'Plan actions'!G12</x:f>
        <x:v>2 semaines</x:v>
      </x:c>
      <x:c r="F26" s="22" t="str">
        <x:f>'Plan actions'!K12</x:f>
        <x:v>Hypothèse 50 %</x:v>
      </x:c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7" t="str">
        <x:v>Flux avant ST50</x:v>
      </x:c>
      <x:c r="B29" s="7"/>
      <x:c r="C29" s="7"/>
      <x:c r="D29" s="7"/>
      <x:c r="E29" s="7"/>
      <x:c r="F29" s="7"/>
      <x:c r="G29" s="2"/>
      <x:c r="H29" s="2"/>
      <x:c r="I29" s="2"/>
      <x:c r="J29" s="2"/>
      <x:c r="K29" s="2"/>
      <x:c r="L29" s="2"/>
    </x:row>
    <x:row r="30" ht="28" customHeight="1">
      <x:c r="A30" s="12" t="str">
        <x:v>Indicateur</x:v>
      </x:c>
      <x:c r="B30" s="12" t="str">
        <x:v>Actuel</x:v>
      </x:c>
      <x:c r="C30" s="12" t="str">
        <x:v>Règle proposée</x:v>
      </x:c>
      <x:c r="D30" s="12" t="str">
        <x:v>Écart</x:v>
      </x:c>
      <x:c r="E30" s="2"/>
      <x:c r="F30" s="2"/>
      <x:c r="G30" s="2"/>
      <x:c r="H30" s="2"/>
      <x:c r="I30" s="2"/>
      <x:c r="J30" s="2"/>
      <x:c r="K30" s="2"/>
      <x:c r="L30" s="2"/>
    </x:row>
    <x:row r="31">
      <x:c r="A31" s="13" t="str">
        <x:v>WIP avant ST50</x:v>
      </x:c>
      <x:c r="B31" s="17" t="n">
        <x:f>Sources!B20</x:f>
        <x:v>664</x:v>
      </x:c>
      <x:c r="C31" s="17" t="n">
        <x:f>'Scénario amélioré'!B10</x:f>
        <x:v>105</x:v>
      </x:c>
      <x:c r="D31" s="17" t="n">
        <x:f>C31-B31</x:f>
        <x:v>-559</x:v>
      </x:c>
      <x:c r="E31" s="2"/>
      <x:c r="F31" s="2"/>
      <x:c r="G31" s="2"/>
      <x:c r="H31" s="2"/>
      <x:c r="I31" s="2"/>
      <x:c r="J31" s="2"/>
      <x:c r="K31" s="2"/>
      <x:c r="L31" s="2"/>
    </x:row>
    <x:row r="32">
      <x:c r="A32" s="13" t="str">
        <x:v>Équivalent jours de demande</x:v>
      </x:c>
      <x:c r="B32" s="15" t="n">
        <x:f>B31/Sources!B9</x:f>
        <x:v>3.1619047619047618</x:v>
      </x:c>
      <x:c r="C32" s="15" t="n">
        <x:f>C31/Sources!B9</x:f>
        <x:v>0.5</x:v>
      </x:c>
      <x:c r="D32" s="15" t="n">
        <x:f>C32-B32</x:f>
        <x:v>-2.6619047619047618</x:v>
      </x:c>
      <x:c r="E32" s="2"/>
      <x:c r="F32" s="2"/>
      <x:c r="G32" s="2"/>
      <x:c r="H32" s="2"/>
      <x:c r="I32" s="2"/>
      <x:c r="J32" s="2"/>
      <x:c r="K32" s="2"/>
      <x:c r="L32" s="2"/>
    </x:row>
    <x:row r="33">
      <x:c r="A33" s="14" t="str">
        <x:v>Capacité atteinte</x:v>
      </x:c>
      <x:c r="B33" s="20" t="n">
        <x:f>'Scénario amélioré'!F15</x:f>
        <x:v>0.7632642264552809</x:v>
      </x:c>
      <x:c r="C33" s="20" t="n">
        <x:f>'Scénario amélioré'!F19</x:f>
        <x:v>0.9010478678029875</x:v>
      </x:c>
      <x:c r="D33" s="20" t="n">
        <x:f>C33-B33</x:f>
        <x:v>0.1377836413477066</x:v>
      </x:c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163" t="str">
        <x:f>"Besoin structurel restant après les actions engagées : "&amp;TEXT('Scénario amélioré'!C19-Sources!B10,"0.0")&amp;" s/u à retirer ou paralléliser à ST50. Cette valeur est un besoin calculé, pas un gain déjà démontré."</x:f>
        <x:v>Besoin structurel restant après les actions engagées : 27.6 s/u à retirer ou paralléliser à ST50. Cette valeur est un besoin calculé, pas un gain déjà démontré.</x:v>
      </x:c>
      <x:c r="B36" s="164"/>
      <x:c r="C36" s="164"/>
      <x:c r="D36" s="164"/>
      <x:c r="E36" s="164"/>
      <x:c r="F36" s="165"/>
      <x:c r="G36" s="2"/>
      <x:c r="H36" s="2"/>
      <x:c r="I36" s="2"/>
      <x:c r="J36" s="2"/>
      <x:c r="K36" s="2"/>
      <x:c r="L36" s="2"/>
    </x:row>
    <x:row r="37">
      <x:c r="A37" s="166"/>
      <x:c r="B37" s="167"/>
      <x:c r="C37" s="167"/>
      <x:c r="D37" s="167"/>
      <x:c r="E37" s="167"/>
      <x:c r="F37" s="168"/>
      <x:c r="G37" s="2"/>
      <x:c r="H37" s="2"/>
      <x:c r="I37" s="2"/>
      <x:c r="J37" s="2"/>
      <x:c r="K37" s="2"/>
      <x:c r="L37" s="2"/>
    </x:row>
    <x:row r="38">
      <x:c r="A38" s="166"/>
      <x:c r="B38" s="167"/>
      <x:c r="C38" s="167"/>
      <x:c r="D38" s="167"/>
      <x:c r="E38" s="167"/>
      <x:c r="F38" s="168"/>
      <x:c r="G38" s="2"/>
      <x:c r="H38" s="2"/>
      <x:c r="I38" s="2"/>
      <x:c r="J38" s="2"/>
      <x:c r="K38" s="2"/>
      <x:c r="L38" s="2"/>
    </x:row>
    <x:row r="39">
      <x:c r="A39" s="166"/>
      <x:c r="B39" s="167"/>
      <x:c r="C39" s="167"/>
      <x:c r="D39" s="167"/>
      <x:c r="E39" s="167"/>
      <x:c r="F39" s="168"/>
      <x:c r="G39" s="2"/>
      <x:c r="H39" s="2"/>
      <x:c r="I39" s="2"/>
      <x:c r="J39" s="2"/>
      <x:c r="K39" s="2"/>
      <x:c r="L39" s="2"/>
    </x:row>
    <x:row r="40">
      <x:c r="A40" s="166"/>
      <x:c r="B40" s="167"/>
      <x:c r="C40" s="167"/>
      <x:c r="D40" s="167"/>
      <x:c r="E40" s="167"/>
      <x:c r="F40" s="168"/>
      <x:c r="G40" s="2"/>
      <x:c r="H40" s="2"/>
      <x:c r="I40" s="2"/>
      <x:c r="J40" s="2"/>
      <x:c r="K40" s="2"/>
      <x:c r="L40" s="2"/>
    </x:row>
    <x:row r="41">
      <x:c r="A41" s="169"/>
      <x:c r="B41" s="170"/>
      <x:c r="C41" s="170"/>
      <x:c r="D41" s="170"/>
      <x:c r="E41" s="170"/>
      <x:c r="F41" s="171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</x:sheetData>
  <x:mergeCells>
    <x:mergeCell ref="A6:C7"/>
    <x:mergeCell ref="A8:C9"/>
    <x:mergeCell ref="D6:F7"/>
    <x:mergeCell ref="D8:F9"/>
    <x:mergeCell ref="G6:I7"/>
    <x:mergeCell ref="G8:I9"/>
    <x:mergeCell ref="J6:L7"/>
    <x:mergeCell ref="J8:L9"/>
    <x:mergeCell ref="A13:F17"/>
    <x:mergeCell ref="G13:L17"/>
    <x:mergeCell ref="A36:F41"/>
  </x:mergeCells>
  <x:pageMargins left="0.7" right="0.7" top="0.75" bottom="0.75" header="0.3" footer="0.3"/>
  <x:drawing xmlns:r="http://schemas.openxmlformats.org/officeDocument/2006/relationships" r:id="Rbcb318968c4b4bcb"/>
</x:worksheet>
</file>

<file path=xl/worksheets/sheet2.xml><?xml version="1.0" encoding="utf-8"?>
<x:worksheet xmlns:x="http://schemas.openxmlformats.org/spreadsheetml/2006/main">
  <x:sheetPr>
    <x:tabColor rgb="FF0B63CE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7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7" customHeight="1">
      <x:c r="A2" s="3" t="str">
        <x:v>J15 - Scénario amélioré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2" customHeight="1">
      <x:c r="A4" s="5" t="str">
        <x:v>Effet cumulé de cinq actions fortes. Les taux de récupération sont des hypothèses de pilote modifiables.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3" customHeight="1">
      <x:c r="A6" s="7" t="str">
        <x:v>Hypothèses de pilote modifiables</x:v>
      </x:c>
      <x:c r="B6" s="7"/>
      <x:c r="C6" s="7"/>
      <x:c r="D6" s="7"/>
      <x:c r="E6" s="7"/>
      <x:c r="F6" s="7"/>
      <x:c r="G6" s="2"/>
      <x:c r="H6" s="2"/>
      <x:c r="I6" s="2"/>
      <x:c r="J6" s="2"/>
      <x:c r="K6" s="2"/>
      <x:c r="L6" s="2"/>
      <x:c r="M6" s="2"/>
    </x:row>
    <x:row r="7" ht="28" customHeight="1">
      <x:c r="A7" s="12" t="str">
        <x:v>Hypothèse</x:v>
      </x:c>
      <x:c r="B7" s="12" t="str">
        <x:v>Valeur</x:v>
      </x:c>
      <x:c r="C7" s="12" t="str">
        <x:v>Unité</x:v>
      </x:c>
      <x:c r="D7" s="12" t="str">
        <x:v>Base mesurée</x:v>
      </x:c>
      <x:c r="E7" s="12" t="str">
        <x:v>Périmètre</x:v>
      </x:c>
      <x:c r="F7" s="12" t="str">
        <x:v>Statut</x:v>
      </x:c>
      <x:c r="G7" s="2"/>
      <x:c r="H7" s="2"/>
      <x:c r="I7" s="2"/>
      <x:c r="J7" s="2"/>
      <x:c r="K7" s="2"/>
      <x:c r="L7" s="2"/>
      <x:c r="M7" s="2"/>
    </x:row>
    <x:row r="8" ht="34" customHeight="1">
      <x:c r="A8" s="21" t="str">
        <x:v>Récupération arrêts capteur + équipement</x:v>
      </x:c>
      <x:c r="B8" s="47" t="n">
        <x:v>0.5</x:v>
      </x:c>
      <x:c r="C8" s="21" t="str">
        <x:v>taux</x:v>
      </x:c>
      <x:c r="D8" s="48" t="n">
        <x:v>20739</x:v>
      </x:c>
      <x:c r="E8" s="21" t="str">
        <x:v>20 739 s mesurées</x:v>
      </x:c>
      <x:c r="F8" s="21" t="str">
        <x:v>À valider en pilote</x:v>
      </x:c>
      <x:c r="G8" s="2"/>
      <x:c r="H8" s="2"/>
      <x:c r="I8" s="2"/>
      <x:c r="J8" s="2"/>
      <x:c r="K8" s="2"/>
      <x:c r="L8" s="2"/>
      <x:c r="M8" s="2"/>
    </x:row>
    <x:row r="9" ht="34" customHeight="1">
      <x:c r="A9" s="21" t="str">
        <x:v>Réduction des 3 défauts principaux</x:v>
      </x:c>
      <x:c r="B9" s="47" t="n">
        <x:v>0.5</x:v>
      </x:c>
      <x:c r="C9" s="21" t="str">
        <x:v>taux</x:v>
      </x:c>
      <x:c r="D9" s="48" t="n">
        <x:v>53</x:v>
      </x:c>
      <x:c r="E9" s="21" t="str">
        <x:v>53 défauts sur 68</x:v>
      </x:c>
      <x:c r="F9" s="21" t="str">
        <x:v>À valider après MSA</x:v>
      </x:c>
      <x:c r="G9" s="2"/>
      <x:c r="H9" s="2"/>
      <x:c r="I9" s="2"/>
      <x:c r="J9" s="2"/>
      <x:c r="K9" s="2"/>
      <x:c r="L9" s="2"/>
      <x:c r="M9" s="2"/>
    </x:row>
    <x:row r="10" ht="34" customHeight="1">
      <x:c r="A10" s="22" t="str">
        <x:v>Cap FIFO avant ST50</x:v>
      </x:c>
      <x:c r="B10" s="49" t="n">
        <x:v>105</x:v>
      </x:c>
      <x:c r="C10" s="22" t="str">
        <x:v>unités</x:v>
      </x:c>
      <x:c r="D10" s="50" t="n">
        <x:v>664</x:v>
      </x:c>
      <x:c r="E10" s="22" t="str">
        <x:v>1 shift de demande</x:v>
      </x:c>
      <x:c r="F10" s="22" t="str">
        <x:v>Règle de lancement</x:v>
      </x:c>
      <x:c r="G10" s="2"/>
      <x:c r="H10" s="2"/>
      <x:c r="I10" s="2"/>
      <x:c r="J10" s="2"/>
      <x:c r="K10" s="2"/>
      <x:c r="L10" s="2"/>
      <x:c r="M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8" customHeight="1">
      <x:c r="A13" s="7" t="str">
        <x:v>Construction du scénario</x:v>
      </x:c>
      <x:c r="B13" s="7"/>
      <x:c r="C13" s="7"/>
      <x:c r="D13" s="7"/>
      <x:c r="E13" s="7"/>
      <x:c r="F13" s="7"/>
      <x:c r="G13" s="2"/>
      <x:c r="H13" s="12" t="str">
        <x:v>Étape</x:v>
      </x:c>
      <x:c r="I13" s="12" t="str">
        <x:v>Capacité u/j</x:v>
      </x:c>
      <x:c r="J13" s="12" t="str">
        <x:v>Demande u/j</x:v>
      </x:c>
      <x:c r="K13" s="2"/>
      <x:c r="L13" s="2"/>
      <x:c r="M13" s="2"/>
    </x:row>
    <x:row r="14" ht="28" customHeight="1">
      <x:c r="A14" s="12" t="str">
        <x:v>Étape</x:v>
      </x:c>
      <x:c r="B14" s="12" t="str">
        <x:v>Action intégrée</x:v>
      </x:c>
      <x:c r="C14" s="12" t="str">
        <x:v>Charge ST50 (s/u)</x:v>
      </x:c>
      <x:c r="D14" s="12" t="str">
        <x:v>Capacité (u/j)</x:v>
      </x:c>
      <x:c r="E14" s="12" t="str">
        <x:v>Écart demande</x:v>
      </x:c>
      <x:c r="F14" s="12" t="str">
        <x:v>Atteinte</x:v>
      </x:c>
      <x:c r="G14" s="2"/>
      <x:c r="H14" s="13" t="str">
        <x:v>Actuel</x:v>
      </x:c>
      <x:c r="I14" s="23" t="n">
        <x:f>D15</x:f>
        <x:v>160.285487555609</x:v>
      </x:c>
      <x:c r="J14" s="23" t="n">
        <x:f>Sources!B9</x:f>
        <x:v>210</x:v>
      </x:c>
      <x:c r="K14" s="2"/>
      <x:c r="L14" s="2"/>
      <x:c r="M14" s="2"/>
    </x:row>
    <x:row r="15" ht="29" customHeight="1">
      <x:c r="A15" s="13" t="str">
        <x:v>0</x:v>
      </x:c>
      <x:c r="B15" s="21" t="str">
        <x:v>Situation actuelle</x:v>
      </x:c>
      <x:c r="C15" s="15" t="n">
        <x:f>Sources!B11</x:f>
        <x:v>329.4122306717364</x:v>
      </x:c>
      <x:c r="D15" s="15" t="n">
        <x:f>Sources!B8/C15</x:f>
        <x:v>160.285487555609</x:v>
      </x:c>
      <x:c r="E15" s="15" t="n">
        <x:f>D15-Sources!B9</x:f>
        <x:v>-49.714512444391005</x:v>
      </x:c>
      <x:c r="F15" s="19" t="n">
        <x:f>D15/Sources!B9</x:f>
        <x:v>0.7632642264552809</x:v>
      </x:c>
      <x:c r="G15" s="2"/>
      <x:c r="H15" s="13" t="str">
        <x:v>Équilibrage</x:v>
      </x:c>
      <x:c r="I15" s="23" t="n">
        <x:f>D16</x:f>
        <x:v>178.47436737985058</x:v>
      </x:c>
      <x:c r="J15" s="23" t="n">
        <x:f>Sources!B9</x:f>
        <x:v>210</x:v>
      </x:c>
      <x:c r="K15" s="2"/>
      <x:c r="L15" s="2"/>
      <x:c r="M15" s="2"/>
    </x:row>
    <x:row r="16" ht="29" customHeight="1">
      <x:c r="A16" s="13" t="str">
        <x:v>1</x:v>
      </x:c>
      <x:c r="B16" s="21" t="str">
        <x:v>Équilibrage : transfert de 33,6 s</x:v>
      </x:c>
      <x:c r="C16" s="15" t="n">
        <x:f>C15-Sources!B17-Sources!B18</x:f>
        <x:v>295.84080210030777</x:v>
      </x:c>
      <x:c r="D16" s="15" t="n">
        <x:f>Sources!B8/C16</x:f>
        <x:v>178.47436737985058</x:v>
      </x:c>
      <x:c r="E16" s="15" t="n">
        <x:f>D16-Sources!B9</x:f>
        <x:v>-31.525632620149423</x:v>
      </x:c>
      <x:c r="F16" s="19" t="n">
        <x:f>D16/Sources!B9</x:f>
        <x:v>0.8498779399040504</x:v>
      </x:c>
      <x:c r="G16" s="2"/>
      <x:c r="H16" s="13" t="str">
        <x:v>+ SMED</x:v>
      </x:c>
      <x:c r="I16" s="23" t="n">
        <x:f>D17</x:f>
        <x:v>185.16772456073656</x:v>
      </x:c>
      <x:c r="J16" s="23" t="n">
        <x:f>Sources!B9</x:f>
        <x:v>210</x:v>
      </x:c>
      <x:c r="K16" s="2"/>
      <x:c r="L16" s="2"/>
      <x:c r="M16" s="2"/>
    </x:row>
    <x:row r="17" ht="29" customHeight="1">
      <x:c r="A17" s="13" t="str">
        <x:v>2</x:v>
      </x:c>
      <x:c r="B17" s="21" t="str">
        <x:v>SMED : 25,0 vers 12,5 min</x:v>
      </x:c>
      <x:c r="C17" s="15" t="n">
        <x:f>C16-(Sources!B15-Sources!B16)</x:f>
        <x:v>285.14688575049786</x:v>
      </x:c>
      <x:c r="D17" s="15" t="n">
        <x:f>Sources!B8/C17</x:f>
        <x:v>185.16772456073656</x:v>
      </x:c>
      <x:c r="E17" s="15" t="n">
        <x:f>D17-Sources!B9</x:f>
        <x:v>-24.83227543926344</x:v>
      </x:c>
      <x:c r="F17" s="19" t="n">
        <x:f>D17/Sources!B9</x:f>
        <x:v>0.8817510693368408</x:v>
      </x:c>
      <x:c r="G17" s="2"/>
      <x:c r="H17" s="13" t="str">
        <x:v>+ Maintenance</x:v>
      </x:c>
      <x:c r="I17" s="23" t="n">
        <x:f>D18</x:f>
        <x:v>187.32621810430382</x:v>
      </x:c>
      <x:c r="J17" s="23" t="n">
        <x:f>Sources!B9</x:f>
        <x:v>210</x:v>
      </x:c>
      <x:c r="K17" s="2"/>
      <x:c r="L17" s="2"/>
      <x:c r="M17" s="2"/>
    </x:row>
    <x:row r="18" ht="29" customHeight="1">
      <x:c r="A18" s="13" t="str">
        <x:v>3</x:v>
      </x:c>
      <x:c r="B18" s="21" t="str">
        <x:v>Maintenance ciblée - hypothèse pilote</x:v>
      </x:c>
      <x:c r="C18" s="15" t="n">
        <x:f>C17-B8*(Sources!H8+Sources!H9)/Sources!B19</x:f>
        <x:v>281.8612393626652</x:v>
      </x:c>
      <x:c r="D18" s="15" t="n">
        <x:f>Sources!B8/C18</x:f>
        <x:v>187.32621810430382</x:v>
      </x:c>
      <x:c r="E18" s="15" t="n">
        <x:f>D18-Sources!B9</x:f>
        <x:v>-22.67378189569618</x:v>
      </x:c>
      <x:c r="F18" s="19" t="n">
        <x:f>D18/Sources!B9</x:f>
        <x:v>0.8920296100204944</x:v>
      </x:c>
      <x:c r="G18" s="2"/>
      <x:c r="H18" s="14" t="str">
        <x:v>+ Qualité</x:v>
      </x:c>
      <x:c r="I18" s="24" t="n">
        <x:f>D19</x:f>
        <x:v>189.22005223862737</x:v>
      </x:c>
      <x:c r="J18" s="24" t="n">
        <x:f>Sources!B9</x:f>
        <x:v>210</x:v>
      </x:c>
      <x:c r="K18" s="2"/>
      <x:c r="L18" s="2"/>
      <x:c r="M18" s="2"/>
    </x:row>
    <x:row r="19" ht="29" customHeight="1">
      <x:c r="A19" s="14" t="str">
        <x:v>4</x:v>
      </x:c>
      <x:c r="B19" s="22" t="str">
        <x:v>MSA / poka-yoke - hypothèse pilote</x:v>
      </x:c>
      <x:c r="C19" s="51" t="n">
        <x:f>C18-B9*(SUM(Sources!H16:H18)/SUM(Sources!H16:H20))*Sources!B13</x:f>
        <x:v>279.0401935489024</x:v>
      </x:c>
      <x:c r="D19" s="51" t="n">
        <x:f>Sources!B8/C19</x:f>
        <x:v>189.22005223862737</x:v>
      </x:c>
      <x:c r="E19" s="51" t="n">
        <x:f>D19-Sources!B9</x:f>
        <x:v>-20.779947761372625</x:v>
      </x:c>
      <x:c r="F19" s="52" t="n">
        <x:f>D19/Sources!B9</x:f>
        <x:v>0.9010478678029875</x:v>
      </x:c>
      <x:c r="G19" s="2"/>
      <x:c r="H19" s="2"/>
      <x:c r="I19" s="2"/>
      <x:c r="J19" s="2"/>
      <x:c r="K19" s="2"/>
      <x:c r="L19" s="2"/>
      <x:c r="M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7" t="str">
        <x:v>Sensibilité des gains maintenance + qualité</x:v>
      </x:c>
      <x:c r="B22" s="7"/>
      <x:c r="C22" s="7"/>
      <x:c r="D22" s="7"/>
      <x:c r="E22" s="7"/>
      <x:c r="F22" s="7"/>
      <x:c r="G22" s="2"/>
      <x:c r="H22" s="2"/>
      <x:c r="I22" s="2"/>
      <x:c r="J22" s="2"/>
      <x:c r="K22" s="2"/>
      <x:c r="L22" s="2"/>
      <x:c r="M22" s="2"/>
    </x:row>
    <x:row r="23" ht="28" customHeight="1">
      <x:c r="A23" s="12" t="str">
        <x:v>Récupération</x:v>
      </x:c>
      <x:c r="B23" s="12" t="str">
        <x:v>Charge après équilibre + SMED</x:v>
      </x:c>
      <x:c r="C23" s="12" t="str">
        <x:v>Gain arrêts (s/u)</x:v>
      </x:c>
      <x:c r="D23" s="12" t="str">
        <x:v>Gain qualité (s/u)</x:v>
      </x:c>
      <x:c r="E23" s="12" t="str">
        <x:v>Capacité (u/j)</x:v>
      </x:c>
      <x:c r="F23" s="12" t="str">
        <x:v>Écart demande</x:v>
      </x:c>
      <x:c r="G23" s="2"/>
      <x:c r="H23" s="2"/>
      <x:c r="I23" s="2"/>
      <x:c r="J23" s="2"/>
      <x:c r="K23" s="2"/>
      <x:c r="L23" s="2"/>
      <x:c r="M23" s="2"/>
    </x:row>
    <x:row r="24">
      <x:c r="A24" s="53" t="n">
        <x:v>0</x:v>
      </x:c>
      <x:c r="B24" s="15" t="n">
        <x:f>C17</x:f>
        <x:v>285.14688575049786</x:v>
      </x:c>
      <x:c r="C24" s="15" t="n">
        <x:f>A24*(Sources!H8+Sources!H9)/Sources!B19</x:f>
        <x:v>0</x:v>
      </x:c>
      <x:c r="D24" s="15" t="n">
        <x:f>A24*(SUM(Sources!H16:H18)/SUM(Sources!H16:H20))*Sources!B13</x:f>
        <x:v>0</x:v>
      </x:c>
      <x:c r="E24" s="15" t="n">
        <x:f>Sources!B8/(B24-C24-D24)</x:f>
        <x:v>185.16772456073656</x:v>
      </x:c>
      <x:c r="F24" s="15" t="n">
        <x:f>E24-Sources!B9</x:f>
        <x:v>-24.83227543926344</x:v>
      </x:c>
      <x:c r="G24" s="2"/>
      <x:c r="H24" s="2"/>
      <x:c r="I24" s="2"/>
      <x:c r="J24" s="2"/>
      <x:c r="K24" s="2"/>
      <x:c r="L24" s="2"/>
      <x:c r="M24" s="2"/>
    </x:row>
    <x:row r="25">
      <x:c r="A25" s="53" t="n">
        <x:v>0.5</x:v>
      </x:c>
      <x:c r="B25" s="15" t="n">
        <x:f>C17</x:f>
        <x:v>285.14688575049786</x:v>
      </x:c>
      <x:c r="C25" s="15" t="n">
        <x:f>A25*(Sources!H8+Sources!H9)/Sources!B19</x:f>
        <x:v>3.2856463878326996</x:v>
      </x:c>
      <x:c r="D25" s="15" t="n">
        <x:f>A25*(SUM(Sources!H16:H18)/SUM(Sources!H16:H20))*Sources!B13</x:f>
        <x:v>2.8210458137627676</x:v>
      </x:c>
      <x:c r="E25" s="15" t="n">
        <x:f>Sources!B8/(B25-C25-D25)</x:f>
        <x:v>189.22005223862737</x:v>
      </x:c>
      <x:c r="F25" s="15" t="n">
        <x:f>E25-Sources!B9</x:f>
        <x:v>-20.779947761372625</x:v>
      </x:c>
      <x:c r="G25" s="2"/>
      <x:c r="H25" s="2"/>
      <x:c r="I25" s="2"/>
      <x:c r="J25" s="2"/>
      <x:c r="K25" s="2"/>
      <x:c r="L25" s="2"/>
      <x:c r="M25" s="2"/>
    </x:row>
    <x:row r="26">
      <x:c r="A26" s="54" t="n">
        <x:v>1</x:v>
      </x:c>
      <x:c r="B26" s="16" t="n">
        <x:f>C17</x:f>
        <x:v>285.14688575049786</x:v>
      </x:c>
      <x:c r="C26" s="16" t="n">
        <x:f>A26*(Sources!H8+Sources!H9)/Sources!B19</x:f>
        <x:v>6.571292775665399</x:v>
      </x:c>
      <x:c r="D26" s="16" t="n">
        <x:f>A26*(SUM(Sources!H16:H18)/SUM(Sources!H16:H20))*Sources!B13</x:f>
        <x:v>5.642091627525535</x:v>
      </x:c>
      <x:c r="E26" s="16" t="n">
        <x:f>Sources!B8/(B26-C26-D26)</x:f>
        <x:v>193.453715792889</x:v>
      </x:c>
      <x:c r="F26" s="16" t="n">
        <x:f>E26-Sources!B9</x:f>
        <x:v>-16.546284207111</x:v>
      </x:c>
      <x:c r="G26" s="2"/>
      <x:c r="H26" s="2"/>
      <x:c r="I26" s="2"/>
      <x:c r="J26" s="2"/>
      <x:c r="K26" s="2"/>
      <x:c r="L26" s="2"/>
      <x:c r="M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>
      <x:c r="A29" s="65" t="str">
        <x:f>"Conclusion : le scénario engagé atteint "&amp;TEXT(D19,"0.0")&amp;" u/j, soit "&amp;TEXT(F19,"0.0%")&amp;" de la demande. Il manque encore "&amp;TEXT(ABS(E19),"0.0")&amp;" u/j. Une réduction structurelle supplémentaire de "&amp;TEXT(C19-Sources!B10,"0.0")&amp;" s/u à ST50 est nécessaire avant de prétendre atteindre 210 u/j."</x:f>
        <x:v>Conclusion : le scénario engagé atteint 189.2 u/j, soit 90.1% de la demande. Il manque encore 20.8 u/j. Une réduction structurelle supplémentaire de 27.6 s/u à ST50 est nécessaire avant de prétendre atteindre 210 u/j.</x:v>
      </x:c>
      <x:c r="B29" s="66"/>
      <x:c r="C29" s="66"/>
      <x:c r="D29" s="66"/>
      <x:c r="E29" s="66"/>
      <x:c r="F29" s="67"/>
      <x:c r="G29" s="2"/>
      <x:c r="H29" s="2"/>
      <x:c r="I29" s="2"/>
      <x:c r="J29" s="2"/>
      <x:c r="K29" s="2"/>
      <x:c r="L29" s="2"/>
      <x:c r="M29" s="2"/>
    </x:row>
    <x:row r="30">
      <x:c r="A30" s="68"/>
      <x:c r="B30" s="69"/>
      <x:c r="C30" s="69"/>
      <x:c r="D30" s="69"/>
      <x:c r="E30" s="69"/>
      <x:c r="F30" s="70"/>
      <x:c r="G30" s="2"/>
      <x:c r="H30" s="2"/>
      <x:c r="I30" s="2"/>
      <x:c r="J30" s="2"/>
      <x:c r="K30" s="2"/>
      <x:c r="L30" s="2"/>
      <x:c r="M30" s="2"/>
    </x:row>
    <x:row r="31">
      <x:c r="A31" s="68"/>
      <x:c r="B31" s="69"/>
      <x:c r="C31" s="69"/>
      <x:c r="D31" s="69"/>
      <x:c r="E31" s="69"/>
      <x:c r="F31" s="70"/>
      <x:c r="G31" s="2"/>
      <x:c r="H31" s="2"/>
      <x:c r="I31" s="2"/>
      <x:c r="J31" s="2"/>
      <x:c r="K31" s="2"/>
      <x:c r="L31" s="2"/>
      <x:c r="M31" s="2"/>
    </x:row>
    <x:row r="32">
      <x:c r="A32" s="71"/>
      <x:c r="B32" s="72"/>
      <x:c r="C32" s="72"/>
      <x:c r="D32" s="72"/>
      <x:c r="E32" s="72"/>
      <x:c r="F32" s="73"/>
      <x:c r="G32" s="2"/>
      <x:c r="H32" s="2"/>
      <x:c r="I32" s="2"/>
      <x:c r="J32" s="2"/>
      <x:c r="K32" s="2"/>
      <x:c r="L32" s="2"/>
      <x:c r="M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3" customHeight="1">
      <x:c r="A35" s="7" t="str">
        <x:v>Équilibrage des cycles standards</x:v>
      </x:c>
      <x:c r="B35" s="7"/>
      <x:c r="C35" s="7"/>
      <x:c r="D35" s="7"/>
      <x:c r="E35" s="7"/>
      <x:c r="F35" s="7"/>
      <x:c r="G35" s="2"/>
      <x:c r="H35" s="2"/>
      <x:c r="I35" s="2"/>
      <x:c r="J35" s="2"/>
      <x:c r="K35" s="2"/>
      <x:c r="L35" s="2"/>
      <x:c r="M35" s="2"/>
    </x:row>
    <x:row r="36" ht="28" customHeight="1">
      <x:c r="A36" s="12" t="str">
        <x:v>Poste</x:v>
      </x:c>
      <x:c r="B36" s="12" t="str">
        <x:v>Actuel (s)</x:v>
      </x:c>
      <x:c r="C36" s="12" t="str">
        <x:v>Équilibré (s)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>
      <x:c r="A37" s="13" t="str">
        <x:f>Sources!A27</x:f>
        <x:v>ST10</x:v>
      </x:c>
      <x:c r="B37" s="23" t="n">
        <x:f>Sources!C27</x:f>
        <x:v>180</x:v>
      </x:c>
      <x:c r="C37" s="23" t="n">
        <x:f>Sources!D27</x:f>
        <x:v>180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>
      <x:c r="A38" s="13" t="str">
        <x:f>Sources!A28</x:f>
        <x:v>ST20</x:v>
      </x:c>
      <x:c r="B38" s="23" t="n">
        <x:f>Sources!C28</x:f>
        <x:v>215</x:v>
      </x:c>
      <x:c r="C38" s="23" t="n">
        <x:f>Sources!D28</x:f>
        <x:v>215</x:v>
      </x:c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>
      <x:c r="A39" s="13" t="str">
        <x:f>Sources!A29</x:f>
        <x:v>ST30</x:v>
      </x:c>
      <x:c r="B39" s="23" t="n">
        <x:f>Sources!C29</x:f>
        <x:v>240</x:v>
      </x:c>
      <x:c r="C39" s="23" t="n">
        <x:f>Sources!D29</x:f>
        <x:v>240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>
      <x:c r="A40" s="13" t="str">
        <x:f>Sources!A30</x:f>
        <x:v>ST40</x:v>
      </x:c>
      <x:c r="B40" s="23" t="n">
        <x:f>Sources!C30</x:f>
        <x:v>225</x:v>
      </x:c>
      <x:c r="C40" s="23" t="n">
        <x:f>Sources!D30</x:f>
        <x:v>240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>
      <x:c r="A41" s="13" t="str">
        <x:f>Sources!A31</x:f>
        <x:v>ST50</x:v>
      </x:c>
      <x:c r="B41" s="23" t="n">
        <x:f>Sources!C31</x:f>
        <x:v>285</x:v>
      </x:c>
      <x:c r="C41" s="23" t="n">
        <x:f>Sources!D31</x:f>
        <x:v>251.42857142857142</x:v>
      </x:c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>
      <x:c r="A42" s="13" t="str">
        <x:f>Sources!A32</x:f>
        <x:v>ST60</x:v>
      </x:c>
      <x:c r="B42" s="23" t="n">
        <x:f>Sources!C32</x:f>
        <x:v>200</x:v>
      </x:c>
      <x:c r="C42" s="23" t="n">
        <x:f>Sources!D32</x:f>
        <x:v>218.57142857142858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>
      <x:c r="A43" s="14" t="str">
        <x:f>Sources!A33</x:f>
        <x:v>ST70</x:v>
      </x:c>
      <x:c r="B43" s="24" t="n">
        <x:f>Sources!C33</x:f>
        <x:v>160</x:v>
      </x:c>
      <x:c r="C43" s="24" t="n">
        <x:f>Sources!D33</x:f>
        <x:v>160</x:v>
      </x:c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</x:sheetData>
  <x:mergeCells>
    <x:mergeCell ref="A29:F32"/>
  </x:mergeCells>
  <x:conditionalFormatting sqref="E15:E19">
    <x:cfRule type="cellIs" dxfId="0" priority="1" operator="lessThan">
      <x:formula>0</x:formula>
    </x:cfRule>
  </x:conditionalFormatting>
  <x:dataValidations count="1">
    <x:dataValidation type="decimal" operator="between" sqref="B8:B9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20ba6eec37f24e24"/>
</x:worksheet>
</file>

<file path=xl/worksheets/sheet3.xml><?xml version="1.0" encoding="utf-8"?>
<x:worksheet xmlns:x="http://schemas.openxmlformats.org/spreadsheetml/2006/main">
  <x:sheetPr>
    <x:tabColor rgb="FFE67E22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31" hidden="0" customWidth="1"/>
    <x:col min="4" max="4" width="26" hidden="0" customWidth="1"/>
    <x:col min="5" max="5" width="15" hidden="0" customWidth="1"/>
    <x:col min="6" max="6" width="19" hidden="0" customWidth="1"/>
    <x:col min="7" max="7" width="16" hidden="0" customWidth="1"/>
    <x:col min="8" max="8" width="25" hidden="0" customWidth="1"/>
    <x:col min="9" max="9" width="25" hidden="0" customWidth="1"/>
    <x:col min="10" max="10" width="34" hidden="0" customWidth="1"/>
    <x:col min="11" max="11" width="20" hidden="0" customWidth="1"/>
    <x:col min="12" max="12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3" t="str">
        <x:v>J15 - Plan d’actions priorisé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2" customHeight="1">
      <x:c r="A4" s="5" t="str">
        <x:v>Cinq actions reliées à une perte mesurée. Aucun gain estimé n’est présenté comme un résultat obtenu.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7" t="str">
        <x:v>Actions retenues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</x:row>
    <x:row r="7" ht="28" customHeight="1">
      <x:c r="A7" s="12" t="str">
        <x:v>Ordre</x:v>
      </x:c>
      <x:c r="B7" s="12" t="str">
        <x:v>Action</x:v>
      </x:c>
      <x:c r="C7" s="12" t="str">
        <x:v>Perte mesurée</x:v>
      </x:c>
      <x:c r="D7" s="12" t="str">
        <x:v>Réponse proposée</x:v>
      </x:c>
      <x:c r="E7" s="12" t="str">
        <x:v>Gain modélisé (s/u)</x:v>
      </x:c>
      <x:c r="F7" s="12" t="str">
        <x:v>Responsable</x:v>
      </x:c>
      <x:c r="G7" s="12" t="str">
        <x:v>Horizon</x:v>
      </x:c>
      <x:c r="H7" s="12" t="str">
        <x:v>KPI</x:v>
      </x:c>
      <x:c r="I7" s="12" t="str">
        <x:v>Cible / règle</x:v>
      </x:c>
      <x:c r="J7" s="12" t="str">
        <x:v>Condition de validation</x:v>
      </x:c>
      <x:c r="K7" s="12" t="str">
        <x:v>Statut</x:v>
      </x:c>
      <x:c r="L7" s="12" t="str">
        <x:v>Effet principal</x:v>
      </x:c>
    </x:row>
    <x:row r="8" ht="58" customHeight="1">
      <x:c r="A8" s="78" t="n">
        <x:v>1</x:v>
      </x:c>
      <x:c r="B8" s="21" t="str">
        <x:v>Plafonner le FIFO avant ST50</x:v>
      </x:c>
      <x:c r="C8" s="21" t="str">
        <x:v>664 u de WIP, soit 3,16 jours de demande</x:v>
      </x:c>
      <x:c r="D8" s="21" t="str">
        <x:v>Cap à un shift de demande et lancement limité par la capacité vérifiée de ST50</x:v>
      </x:c>
      <x:c r="E8" s="76" t="n">
        <x:v>0</x:v>
      </x:c>
      <x:c r="F8" s="21" t="str">
        <x:v>Production</x:v>
      </x:c>
      <x:c r="G8" s="21" t="str">
        <x:v>Immédiat</x:v>
      </x:c>
      <x:c r="H8" s="21" t="str">
        <x:v>WIP avant ST50</x:v>
      </x:c>
      <x:c r="I8" s="21" t="str">
        <x:v>≤ 105 u</x:v>
      </x:c>
      <x:c r="J8" s="21" t="str">
        <x:v>Stop lancement si FIFO plein; suivi quotidien</x:v>
      </x:c>
      <x:c r="K8" s="80" t="str">
        <x:v>Proposé</x:v>
      </x:c>
      <x:c r="L8" s="21" t="str">
        <x:v>Flux / encours</x:v>
      </x:c>
    </x:row>
    <x:row r="9" ht="58" customHeight="1">
      <x:c r="A9" s="78" t="n">
        <x:v>2</x:v>
      </x:c>
      <x:c r="B9" s="21" t="str">
        <x:v>Rééquilibrer le travail ST50</x:v>
      </x:c>
      <x:c r="C9" s="21" t="str">
        <x:v>CT standard 285 s contre takt 251,4 s</x:v>
      </x:c>
      <x:c r="D9" s="21" t="str">
        <x:v>Transférer 15,0 s vers ST40 et 18,6 s vers ST60</x:v>
      </x:c>
      <x:c r="E9" s="76" t="n">
        <x:v>33.571428571428584</x:v>
      </x:c>
      <x:c r="F9" s="21" t="str">
        <x:v>Industrialisation</x:v>
      </x:c>
      <x:c r="G9" s="21" t="str">
        <x:v>2 semaines</x:v>
      </x:c>
      <x:c r="H9" s="21" t="str">
        <x:v>CT ST40 / ST50 / ST60</x:v>
      </x:c>
      <x:c r="I9" s="21" t="str">
        <x:v>240 / 251,4 / 218,6 s</x:v>
      </x:c>
      <x:c r="J9" s="21" t="str">
        <x:v>30 cycles filmés; sécurité et ergonomie validées</x:v>
      </x:c>
      <x:c r="K9" s="80" t="str">
        <x:v>Pilote requis</x:v>
      </x:c>
      <x:c r="L9" s="21" t="str">
        <x:v>Capacité</x:v>
      </x:c>
    </x:row>
    <x:row r="10" ht="58" customHeight="1">
      <x:c r="A10" s="78" t="n">
        <x:v>3</x:v>
      </x:c>
      <x:c r="B10" s="21" t="str">
        <x:v>Déployer le standard SMED</x:v>
      </x:c>
      <x:c r="C10" s="21" t="str">
        <x:v>67 500 s de changeover; 72,2 % des arrêts ST50</x:v>
      </x:c>
      <x:c r="D10" s="21" t="str">
        <x:v>Préparation externe et séquence interne standard de 750 s</x:v>
      </x:c>
      <x:c r="E10" s="76" t="n">
        <x:v>10.693916349809886</x:v>
      </x:c>
      <x:c r="F10" s="21" t="str">
        <x:v>Méthodes + Production</x:v>
      </x:c>
      <x:c r="G10" s="21" t="str">
        <x:v>2 semaines</x:v>
      </x:c>
      <x:c r="H10" s="21" t="str">
        <x:v>Temps interne changeover</x:v>
      </x:c>
      <x:c r="I10" s="21" t="str">
        <x:v>≤ 750 s</x:v>
      </x:c>
      <x:c r="J10" s="21" t="str">
        <x:v>10 changements par transition; premier article PASS</x:v>
      </x:c>
      <x:c r="K10" s="80" t="str">
        <x:v>Standard proposé</x:v>
      </x:c>
      <x:c r="L10" s="21" t="str">
        <x:v>Disponibilité</x:v>
      </x:c>
    </x:row>
    <x:row r="11" ht="58" customHeight="1">
      <x:c r="A11" s="78" t="n">
        <x:v>4</x:v>
      </x:c>
      <x:c r="B11" s="21" t="str">
        <x:v>Maintenance ciblée ST50</x:v>
      </x:c>
      <x:c r="C11" s="21" t="str">
        <x:v>20 739 s capteur + équipement, 79,7 % des arrêts non planifiés</x:v>
      </x:c>
      <x:c r="D11" s="21" t="str">
        <x:v>Pareto par sous-ensemble, contrôles capteurs et plan préventif ciblé</x:v>
      </x:c>
      <x:c r="E11" s="76" t="n">
        <x:f>'Scénario amélioré'!B8*(Sources!H8+Sources!H9)/Sources!B19</x:f>
        <x:v>3.2856463878326996</x:v>
      </x:c>
      <x:c r="F11" s="21" t="str">
        <x:v>Maintenance</x:v>
      </x:c>
      <x:c r="G11" s="21" t="str">
        <x:v>1 semaine pilote</x:v>
      </x:c>
      <x:c r="H11" s="21" t="str">
        <x:v>Durée SENSOR_FAULT + EQUIPMENT_FAILURE</x:v>
      </x:c>
      <x:c r="I11" s="21" t="str">
        <x:v>-50 % en pilote</x:v>
      </x:c>
      <x:c r="J11" s="21" t="str">
        <x:v>Cause confirmée par composant; taux ajustable dans Scénario</x:v>
      </x:c>
      <x:c r="K11" s="80" t="str">
        <x:v>Hypothèse 50 %</x:v>
      </x:c>
      <x:c r="L11" s="21" t="str">
        <x:v>Disponibilité</x:v>
      </x:c>
    </x:row>
    <x:row r="12" ht="58" customHeight="1">
      <x:c r="A12" s="79" t="n">
        <x:v>5</x:v>
      </x:c>
      <x:c r="B12" s="22" t="str">
        <x:v>MSA puis poka-yoke test</x:v>
      </x:c>
      <x:c r="C12" s="22" t="str">
        <x:v>53 défauts sur 68 pour QL-C06/C07/C08, soit 77,9 %</x:v>
      </x:c>
      <x:c r="D12" s="22" t="str">
        <x:v>Gage R&amp;R, seuils de décision et détrompage des connexions</x:v>
      </x:c>
      <x:c r="E12" s="77" t="n">
        <x:f>'Scénario amélioré'!B9*(SUM(Sources!H16:H18)/SUM(Sources!H16:H20))*Sources!B13</x:f>
        <x:v>2.8210458137627676</x:v>
      </x:c>
      <x:c r="F12" s="22" t="str">
        <x:v>Qualité</x:v>
      </x:c>
      <x:c r="G12" s="22" t="str">
        <x:v>2 semaines</x:v>
      </x:c>
      <x:c r="H12" s="22" t="str">
        <x:v>Défauts QL-C06/C07/C08 et FPY</x:v>
      </x:c>
      <x:c r="I12" s="22" t="str">
        <x:v>-50 % en pilote</x:v>
      </x:c>
      <x:c r="J12" s="22" t="str">
        <x:v>MSA acceptable avant modification des critères</x:v>
      </x:c>
      <x:c r="K12" s="81" t="str">
        <x:v>Hypothèse 50 %</x:v>
      </x:c>
      <x:c r="L12" s="22" t="str">
        <x:v>Qualité</x:v>
      </x:c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7" t="str">
        <x:v>Séquence de mise en œuvre et décisions</x:v>
      </x:c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</x:row>
    <x:row r="16" ht="28" customHeight="1">
      <x:c r="A16" s="12" t="str">
        <x:v>Période</x:v>
      </x:c>
      <x:c r="B16" s="12" t="str">
        <x:v>Action</x:v>
      </x:c>
      <x:c r="C16" s="12" t="str">
        <x:v>Entrée requise</x:v>
      </x:c>
      <x:c r="D16" s="12" t="str">
        <x:v>Sortie attendue</x:v>
      </x:c>
      <x:c r="E16" s="12" t="str">
        <x:v>Décision</x:v>
      </x:c>
      <x:c r="F16" s="12" t="str">
        <x:v>Responsable</x:v>
      </x:c>
      <x:c r="G16" s="12" t="str">
        <x:v>Critère de passage</x:v>
      </x:c>
      <x:c r="H16" s="12" t="str">
        <x:v>Risque principal</x:v>
      </x:c>
      <x:c r="I16" s="2"/>
      <x:c r="J16" s="65" t="str">
        <x:v>Règle de décision : si les mesures après pilote restent sous 210 u/j, ne pas déclarer la ligne équilibrée. Lancer une étude structurelle ST50 : séparation manuel/automatique, test en parallèle, second nid ou ressource supplémentaire.</x:v>
      </x:c>
      <x:c r="K16" s="66"/>
      <x:c r="L16" s="67"/>
    </x:row>
    <x:row r="17" ht="50" customHeight="1">
      <x:c r="A17" s="21" t="str">
        <x:v>J0-J2</x:v>
      </x:c>
      <x:c r="B17" s="21" t="str">
        <x:v>FIFO cap et règle de lancement</x:v>
      </x:c>
      <x:c r="C17" s="21" t="str">
        <x:v>WIP initial et capacité vérifiée</x:v>
      </x:c>
      <x:c r="D17" s="21" t="str">
        <x:v>Tableau quotidien WIP</x:v>
      </x:c>
      <x:c r="E17" s="21" t="str">
        <x:v>Maintenir / ajuster le cap</x:v>
      </x:c>
      <x:c r="F17" s="21" t="str">
        <x:v>Production</x:v>
      </x:c>
      <x:c r="G17" s="21" t="str">
        <x:v>WIP décroissant sans rupture aval</x:v>
      </x:c>
      <x:c r="H17" s="21" t="str">
        <x:v>Starvation si cap mal réglé</x:v>
      </x:c>
      <x:c r="I17" s="2"/>
      <x:c r="J17" s="68"/>
      <x:c r="K17" s="69"/>
      <x:c r="L17" s="70"/>
    </x:row>
    <x:row r="18" ht="50" customHeight="1">
      <x:c r="A18" s="21" t="str">
        <x:v>S1</x:v>
      </x:c>
      <x:c r="B18" s="21" t="str">
        <x:v>Chronométrage vidéo + maintenance Pareto</x:v>
      </x:c>
      <x:c r="C18" s="21" t="str">
        <x:v>30 cycles et codes arrêt</x:v>
      </x:c>
      <x:c r="D18" s="21" t="str">
        <x:v>Découpage manuel/auto/attente</x:v>
      </x:c>
      <x:c r="E18" s="21" t="str">
        <x:v>Confirmer les transferts et causes</x:v>
      </x:c>
      <x:c r="F18" s="21" t="str">
        <x:v>Méthodes + Maintenance</x:v>
      </x:c>
      <x:c r="G18" s="21" t="str">
        <x:v>Temps transférable identifié</x:v>
      </x:c>
      <x:c r="H18" s="21" t="str">
        <x:v>Découpage non réalisable</x:v>
      </x:c>
      <x:c r="I18" s="2"/>
      <x:c r="J18" s="68"/>
      <x:c r="K18" s="69"/>
      <x:c r="L18" s="70"/>
    </x:row>
    <x:row r="19" ht="50" customHeight="1">
      <x:c r="A19" s="21" t="str">
        <x:v>S1-S2</x:v>
      </x:c>
      <x:c r="B19" s="21" t="str">
        <x:v>Pilote équilibrage + SMED</x:v>
      </x:c>
      <x:c r="C19" s="21" t="str">
        <x:v>Standard provisoire</x:v>
      </x:c>
      <x:c r="D19" s="21" t="str">
        <x:v>Mesures CT et changeover</x:v>
      </x:c>
      <x:c r="E19" s="21" t="str">
        <x:v>Standardiser ou corriger</x:v>
      </x:c>
      <x:c r="F19" s="21" t="str">
        <x:v>Industrialisation</x:v>
      </x:c>
      <x:c r="G19" s="21" t="str">
        <x:v>Sécurité, qualité et CT respectés</x:v>
      </x:c>
      <x:c r="H19" s="21" t="str">
        <x:v>Déplacement du goulot</x:v>
      </x:c>
      <x:c r="I19" s="2"/>
      <x:c r="J19" s="68"/>
      <x:c r="K19" s="69"/>
      <x:c r="L19" s="70"/>
    </x:row>
    <x:row r="20" ht="50" customHeight="1">
      <x:c r="A20" s="21" t="str">
        <x:v>S2</x:v>
      </x:c>
      <x:c r="B20" s="21" t="str">
        <x:v>MSA + poka-yoke</x:v>
      </x:c>
      <x:c r="C20" s="21" t="str">
        <x:v>Données QL-C06/C07/C08</x:v>
      </x:c>
      <x:c r="D20" s="21" t="str">
        <x:v>Répétabilité et faux rejets</x:v>
      </x:c>
      <x:c r="E20" s="21" t="str">
        <x:v>Déployer seulement si MSA valide</x:v>
      </x:c>
      <x:c r="F20" s="21" t="str">
        <x:v>Qualité</x:v>
      </x:c>
      <x:c r="G20" s="21" t="str">
        <x:v>FPY amélioré sans masquer défauts</x:v>
      </x:c>
      <x:c r="H20" s="21" t="str">
        <x:v>Critères de test dégradés</x:v>
      </x:c>
      <x:c r="I20" s="2"/>
      <x:c r="J20" s="68"/>
      <x:c r="K20" s="69"/>
      <x:c r="L20" s="70"/>
    </x:row>
    <x:row r="21" ht="50" customHeight="1">
      <x:c r="A21" s="22" t="str">
        <x:v>S3</x:v>
      </x:c>
      <x:c r="B21" s="22" t="str">
        <x:v>Revue capacité</x:v>
      </x:c>
      <x:c r="C21" s="22" t="str">
        <x:v>Résultats réels des quatre pilotes</x:v>
      </x:c>
      <x:c r="D21" s="22" t="str">
        <x:v>Charge effective recalculée</x:v>
      </x:c>
      <x:c r="E21" s="22" t="str">
        <x:v>Étudier capacité parallèle si &lt; 210 u/j</x:v>
      </x:c>
      <x:c r="F21" s="22" t="str">
        <x:v>Chef de projet</x:v>
      </x:c>
      <x:c r="G21" s="22" t="str">
        <x:v>Capacité démontrée, pas supposée</x:v>
      </x:c>
      <x:c r="H21" s="22" t="str">
        <x:v>Gain non converti en débit</x:v>
      </x:c>
      <x:c r="I21" s="2"/>
      <x:c r="J21" s="71"/>
      <x:c r="K21" s="72"/>
      <x:c r="L21" s="73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</x:sheetData>
  <x:mergeCells>
    <x:mergeCell ref="J16:L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30" hidden="0" customWidth="1"/>
    <x:col min="5" max="5" width="13" hidden="0" customWidth="1"/>
    <x:col min="6" max="6" width="26" hidden="0" customWidth="1"/>
    <x:col min="7" max="7" width="30" hidden="0" customWidth="1"/>
    <x:col min="8" max="8" width="42" hidden="0" customWidth="1"/>
    <x:col min="9" max="9" width="16" hidden="0" customWidth="1"/>
    <x:col min="10" max="10" width="28" hidden="0" customWidth="1"/>
    <x:col min="11" max="11" width="22" hidden="0" customWidth="1"/>
    <x:col min="12" max="12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3" t="str">
        <x:v>J15 - Sources et hypothèses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2" customHeight="1">
      <x:c r="A4" s="5" t="str">
        <x:v>Consolidation des mesures J08 à J14. Les hypothèses de récupération restent modifiables dans le scénario.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7" t="str">
        <x:v>Paramètres de ligne</x:v>
      </x:c>
      <x:c r="B6" s="7"/>
      <x:c r="C6" s="7"/>
      <x:c r="D6" s="7"/>
      <x:c r="E6" s="2"/>
      <x:c r="F6" s="7" t="str">
        <x:v>Arrêts non planifiés ST50</x:v>
      </x:c>
      <x:c r="G6" s="7"/>
      <x:c r="H6" s="7"/>
      <x:c r="I6" s="7"/>
      <x:c r="J6" s="7"/>
      <x:c r="K6" s="2"/>
      <x:c r="L6" s="2"/>
    </x:row>
    <x:row r="7" ht="28" customHeight="1">
      <x:c r="A7" s="12" t="str">
        <x:v>Indicateur</x:v>
      </x:c>
      <x:c r="B7" s="12" t="str">
        <x:v>Valeur</x:v>
      </x:c>
      <x:c r="C7" s="12" t="str">
        <x:v>Unité</x:v>
      </x:c>
      <x:c r="D7" s="12" t="str">
        <x:v>Origine</x:v>
      </x:c>
      <x:c r="E7" s="2"/>
      <x:c r="F7" s="12" t="str">
        <x:v>Catégorie</x:v>
      </x:c>
      <x:c r="G7" s="12" t="str">
        <x:v>Événements</x:v>
      </x:c>
      <x:c r="H7" s="12" t="str">
        <x:v>Durée (s)</x:v>
      </x:c>
      <x:c r="I7" s="12" t="str">
        <x:v>Part</x:v>
      </x:c>
      <x:c r="J7" s="12" t="str">
        <x:v>Lecture</x:v>
      </x:c>
      <x:c r="K7" s="2"/>
      <x:c r="L7" s="2"/>
    </x:row>
    <x:row r="8">
      <x:c r="A8" s="13" t="str">
        <x:v>Temps disponible</x:v>
      </x:c>
      <x:c r="B8" s="15" t="n">
        <x:v>52800</x:v>
      </x:c>
      <x:c r="C8" s="13" t="str">
        <x:v>s/jour</x:v>
      </x:c>
      <x:c r="D8" s="13" t="str">
        <x:v>J08</x:v>
      </x:c>
      <x:c r="E8" s="2"/>
      <x:c r="F8" s="13" t="str">
        <x:v>SENSOR_FAULT</x:v>
      </x:c>
      <x:c r="G8" s="17" t="n">
        <x:v>53</x:v>
      </x:c>
      <x:c r="H8" s="17" t="n">
        <x:v>10506</x:v>
      </x:c>
      <x:c r="I8" s="19" t="n">
        <x:v>0.4035337046283849</x:v>
      </x:c>
      <x:c r="J8" s="21" t="str">
        <x:v>Ciblé par l’action maintenance</x:v>
      </x:c>
      <x:c r="K8" s="2"/>
      <x:c r="L8" s="2"/>
    </x:row>
    <x:row r="9">
      <x:c r="A9" s="13" t="str">
        <x:v>Demande client</x:v>
      </x:c>
      <x:c r="B9" s="15" t="n">
        <x:v>210</x:v>
      </x:c>
      <x:c r="C9" s="13" t="str">
        <x:v>u/jour</x:v>
      </x:c>
      <x:c r="D9" s="13" t="str">
        <x:v>J08</x:v>
      </x:c>
      <x:c r="E9" s="2"/>
      <x:c r="F9" s="13" t="str">
        <x:v>EQUIPMENT_FAILURE</x:v>
      </x:c>
      <x:c r="G9" s="17" t="n">
        <x:v>46</x:v>
      </x:c>
      <x:c r="H9" s="17" t="n">
        <x:v>10233</x:v>
      </x:c>
      <x:c r="I9" s="19" t="n">
        <x:v>0.3930478202419819</x:v>
      </x:c>
      <x:c r="J9" s="21" t="str">
        <x:v>Ciblé par l’action maintenance</x:v>
      </x:c>
      <x:c r="K9" s="2"/>
      <x:c r="L9" s="2"/>
    </x:row>
    <x:row r="10">
      <x:c r="A10" s="13" t="str">
        <x:v>Takt</x:v>
      </x:c>
      <x:c r="B10" s="15" t="n">
        <x:v>251.42857142857142</x:v>
      </x:c>
      <x:c r="C10" s="13" t="str">
        <x:v>s/u</x:v>
      </x:c>
      <x:c r="D10" s="13" t="str">
        <x:v>J08</x:v>
      </x:c>
      <x:c r="E10" s="2"/>
      <x:c r="F10" s="13" t="str">
        <x:v>QUALITY_HOLD</x:v>
      </x:c>
      <x:c r="G10" s="17" t="n">
        <x:v>25</x:v>
      </x:c>
      <x:c r="H10" s="17" t="n">
        <x:v>5022</x:v>
      </x:c>
      <x:c r="I10" s="19" t="n">
        <x:v>0.19289418091031305</x:v>
      </x:c>
      <x:c r="J10" s="21" t="str">
        <x:v>Suivi, non modélisé au J15</x:v>
      </x:c>
      <x:c r="K10" s="2"/>
      <x:c r="L10" s="2"/>
    </x:row>
    <x:row r="11">
      <x:c r="A11" s="13" t="str">
        <x:v>Charge effective ST50 actuelle</x:v>
      </x:c>
      <x:c r="B11" s="15" t="n">
        <x:v>329.4122306717364</x:v>
      </x:c>
      <x:c r="C11" s="13" t="str">
        <x:v>s/u</x:v>
      </x:c>
      <x:c r="D11" s="13" t="str">
        <x:v>J13</x:v>
      </x:c>
      <x:c r="E11" s="2"/>
      <x:c r="F11" s="14" t="str">
        <x:v>MICRO_STOP</x:v>
      </x:c>
      <x:c r="G11" s="18" t="n">
        <x:v>5</x:v>
      </x:c>
      <x:c r="H11" s="18" t="n">
        <x:v>274</x:v>
      </x:c>
      <x:c r="I11" s="20" t="n">
        <x:v>0.010524294219320145</x:v>
      </x:c>
      <x:c r="J11" s="22" t="str">
        <x:v>Suivi, non modélisé au J15</x:v>
      </x:c>
      <x:c r="K11" s="2"/>
      <x:c r="L11" s="2"/>
    </x:row>
    <x:row r="12">
      <x:c r="A12" s="13" t="str">
        <x:v>Cycle net premier passage ST50</x:v>
      </x:c>
      <x:c r="B12" s="15" t="n">
        <x:v>292.5361216730038</x:v>
      </x:c>
      <x:c r="C12" s="13" t="str">
        <x:v>s/u</x:v>
      </x:c>
      <x:c r="D12" s="13" t="str">
        <x:v>J13</x:v>
      </x:c>
      <x:c r="E12" s="2"/>
      <x:c r="F12" s="2"/>
      <x:c r="G12" s="2"/>
      <x:c r="H12" s="2"/>
      <x:c r="I12" s="2"/>
      <x:c r="J12" s="2"/>
      <x:c r="K12" s="2"/>
      <x:c r="L12" s="2"/>
    </x:row>
    <x:row r="13">
      <x:c r="A13" s="13" t="str">
        <x:v>Charge retouche ST50</x:v>
      </x:c>
      <x:c r="B13" s="15" t="n">
        <x:v>7.238910012674271</x:v>
      </x:c>
      <x:c r="C13" s="13" t="str">
        <x:v>s/u</x:v>
      </x:c>
      <x:c r="D13" s="13" t="str">
        <x:v>J13</x:v>
      </x:c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13" t="str">
        <x:v>Charge arrêts non planifiés ST50</x:v>
      </x:c>
      <x:c r="B14" s="15" t="n">
        <x:v>8.24936628643853</x:v>
      </x:c>
      <x:c r="C14" s="13" t="str">
        <x:v>s/u</x:v>
      </x:c>
      <x:c r="D14" s="13" t="str">
        <x:v>J13</x:v>
      </x:c>
      <x:c r="E14" s="2"/>
      <x:c r="F14" s="7" t="str">
        <x:v>Défauts premier passage ST50</x:v>
      </x:c>
      <x:c r="G14" s="7"/>
      <x:c r="H14" s="7"/>
      <x:c r="I14" s="7"/>
      <x:c r="J14" s="7"/>
      <x:c r="K14" s="2"/>
      <x:c r="L14" s="2"/>
    </x:row>
    <x:row r="15" ht="28" customHeight="1">
      <x:c r="A15" s="13" t="str">
        <x:v>Charge changeover actuelle ST50</x:v>
      </x:c>
      <x:c r="B15" s="15" t="n">
        <x:v>21.38783269961977</x:v>
      </x:c>
      <x:c r="C15" s="13" t="str">
        <x:v>s/u</x:v>
      </x:c>
      <x:c r="D15" s="13" t="str">
        <x:v>J13</x:v>
      </x:c>
      <x:c r="E15" s="2"/>
      <x:c r="F15" s="12" t="str">
        <x:v>Code</x:v>
      </x:c>
      <x:c r="G15" s="12" t="str">
        <x:v>Description</x:v>
      </x:c>
      <x:c r="H15" s="12" t="str">
        <x:v>Nombre</x:v>
      </x:c>
      <x:c r="I15" s="12" t="str">
        <x:v>Part</x:v>
      </x:c>
      <x:c r="J15" s="12" t="str">
        <x:v>Lecture</x:v>
      </x:c>
      <x:c r="K15" s="2"/>
      <x:c r="L15" s="2"/>
    </x:row>
    <x:row r="16">
      <x:c r="A16" s="13" t="str">
        <x:v>Charge changeover après SMED</x:v>
      </x:c>
      <x:c r="B16" s="15" t="n">
        <x:v>10.693916349809886</x:v>
      </x:c>
      <x:c r="C16" s="13" t="str">
        <x:v>s/u</x:v>
      </x:c>
      <x:c r="D16" s="13" t="str">
        <x:v>J14</x:v>
      </x:c>
      <x:c r="E16" s="2"/>
      <x:c r="F16" s="13" t="str">
        <x:v>QL-C06</x:v>
      </x:c>
      <x:c r="G16" s="21" t="str">
        <x:v>Réponse fonctionnelle hors spécification</x:v>
      </x:c>
      <x:c r="H16" s="17" t="n">
        <x:v>25</x:v>
      </x:c>
      <x:c r="I16" s="19" t="n">
        <x:v>0.36764705882352944</x:v>
      </x:c>
      <x:c r="J16" s="13" t="str">
        <x:v>Ciblé par MSA / poka-yoke</x:v>
      </x:c>
      <x:c r="K16" s="2"/>
      <x:c r="L16" s="2"/>
    </x:row>
    <x:row r="17">
      <x:c r="A17" s="13" t="str">
        <x:v>Transfert ST50 vers ST40</x:v>
      </x:c>
      <x:c r="B17" s="15" t="n">
        <x:v>15</x:v>
      </x:c>
      <x:c r="C17" s="13" t="str">
        <x:v>s/u</x:v>
      </x:c>
      <x:c r="D17" s="13" t="str">
        <x:v>J08</x:v>
      </x:c>
      <x:c r="E17" s="2"/>
      <x:c r="F17" s="13" t="str">
        <x:v>QL-C07</x:v>
      </x:c>
      <x:c r="G17" s="21" t="str">
        <x:v>Signal capteur instable</x:v>
      </x:c>
      <x:c r="H17" s="17" t="n">
        <x:v>15</x:v>
      </x:c>
      <x:c r="I17" s="19" t="n">
        <x:v>0.22058823529411764</x:v>
      </x:c>
      <x:c r="J17" s="13" t="str">
        <x:v>Ciblé par MSA / poka-yoke</x:v>
      </x:c>
      <x:c r="K17" s="2"/>
      <x:c r="L17" s="2"/>
    </x:row>
    <x:row r="18">
      <x:c r="A18" s="13" t="str">
        <x:v>Transfert ST50 vers ST60</x:v>
      </x:c>
      <x:c r="B18" s="15" t="n">
        <x:v>18.571428571428584</x:v>
      </x:c>
      <x:c r="C18" s="13" t="str">
        <x:v>s/u</x:v>
      </x:c>
      <x:c r="D18" s="13" t="str">
        <x:v>J08</x:v>
      </x:c>
      <x:c r="E18" s="2"/>
      <x:c r="F18" s="13" t="str">
        <x:v>QL-C08</x:v>
      </x:c>
      <x:c r="G18" s="21" t="str">
        <x:v>Continuité électrique non conforme</x:v>
      </x:c>
      <x:c r="H18" s="17" t="n">
        <x:v>13</x:v>
      </x:c>
      <x:c r="I18" s="19" t="n">
        <x:v>0.19117647058823528</x:v>
      </x:c>
      <x:c r="J18" s="13" t="str">
        <x:v>Ciblé par MSA / poka-yoke</x:v>
      </x:c>
      <x:c r="K18" s="2"/>
      <x:c r="L18" s="2"/>
    </x:row>
    <x:row r="19">
      <x:c r="A19" s="13" t="str">
        <x:v>Premiers passages ST50</x:v>
      </x:c>
      <x:c r="B19" s="15" t="n">
        <x:v>3156</x:v>
      </x:c>
      <x:c r="C19" s="13" t="str">
        <x:v>unités</x:v>
      </x:c>
      <x:c r="D19" s="13" t="str">
        <x:v>J13</x:v>
      </x:c>
      <x:c r="E19" s="2"/>
      <x:c r="F19" s="13" t="str">
        <x:v>QL-C02</x:v>
      </x:c>
      <x:c r="G19" s="21" t="str">
        <x:v>Désalignement d'assemblage</x:v>
      </x:c>
      <x:c r="H19" s="17" t="n">
        <x:v>10</x:v>
      </x:c>
      <x:c r="I19" s="19" t="n">
        <x:v>0.14705882352941177</x:v>
      </x:c>
      <x:c r="J19" s="13" t="str">
        <x:v>Suivi</x:v>
      </x:c>
      <x:c r="K19" s="2"/>
      <x:c r="L19" s="2"/>
    </x:row>
    <x:row r="20">
      <x:c r="A20" s="13" t="str">
        <x:v>WIP avant ST50</x:v>
      </x:c>
      <x:c r="B20" s="15" t="n">
        <x:v>664</x:v>
      </x:c>
      <x:c r="C20" s="13" t="str">
        <x:v>unités</x:v>
      </x:c>
      <x:c r="D20" s="13" t="str">
        <x:v>J12/J13</x:v>
      </x:c>
      <x:c r="E20" s="2"/>
      <x:c r="F20" s="14" t="str">
        <x:v>QL-C03</x:v>
      </x:c>
      <x:c r="G20" s="22" t="str">
        <x:v>Cote arbre ou roulement hors tolérance</x:v>
      </x:c>
      <x:c r="H20" s="18" t="n">
        <x:v>5</x:v>
      </x:c>
      <x:c r="I20" s="20" t="n">
        <x:v>0.07352941176470588</x:v>
      </x:c>
      <x:c r="J20" s="14" t="str">
        <x:v>Suivi</x:v>
      </x:c>
      <x:c r="K20" s="2"/>
      <x:c r="L20" s="2"/>
    </x:row>
    <x:row r="21">
      <x:c r="A21" s="13" t="str">
        <x:v>Sortie observée</x:v>
      </x:c>
      <x:c r="B21" s="15" t="n">
        <x:v>157.2</x:v>
      </x:c>
      <x:c r="C21" s="13" t="str">
        <x:v>u/jour</x:v>
      </x:c>
      <x:c r="D21" s="13" t="str">
        <x:v>J12/J13</x:v>
      </x:c>
      <x:c r="E21" s="2"/>
      <x:c r="F21" s="2"/>
      <x:c r="G21" s="2"/>
      <x:c r="H21" s="2"/>
      <x:c r="I21" s="2"/>
      <x:c r="J21" s="2"/>
      <x:c r="K21" s="2"/>
      <x:c r="L21" s="2"/>
    </x:row>
    <x:row r="22">
      <x:c r="A22" s="14" t="str">
        <x:v>Capacité de référence actuelle</x:v>
      </x:c>
      <x:c r="B22" s="16" t="n">
        <x:v>160.285487555609</x:v>
      </x:c>
      <x:c r="C22" s="14" t="str">
        <x:v>u/jour</x:v>
      </x:c>
      <x:c r="D22" s="14" t="str">
        <x:v>J14</x:v>
      </x:c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7" t="str">
        <x:v>Cycles standards avant / après équilibrage</x:v>
      </x:c>
      <x:c r="B25" s="7"/>
      <x:c r="C25" s="7"/>
      <x:c r="D25" s="7"/>
      <x:c r="E25" s="7"/>
      <x:c r="F25" s="2"/>
      <x:c r="G25" s="7" t="str">
        <x:v>Traçabilité</x:v>
      </x:c>
      <x:c r="H25" s="7"/>
      <x:c r="I25" s="7"/>
      <x:c r="J25" s="7"/>
      <x:c r="K25" s="7"/>
      <x:c r="L25" s="7"/>
    </x:row>
    <x:row r="26" ht="28" customHeight="1">
      <x:c r="A26" s="12" t="str">
        <x:v>Poste</x:v>
      </x:c>
      <x:c r="B26" s="12" t="str">
        <x:v>Processus</x:v>
      </x:c>
      <x:c r="C26" s="12" t="str">
        <x:v>Actuel (s)</x:v>
      </x:c>
      <x:c r="D26" s="12" t="str">
        <x:v>Équilibré (s)</x:v>
      </x:c>
      <x:c r="E26" s="12" t="str">
        <x:v>Écart (s)</x:v>
      </x:c>
      <x:c r="F26" s="2"/>
      <x:c r="G26" s="12" t="str">
        <x:v>Fichier</x:v>
      </x:c>
      <x:c r="H26" s="12" t="str">
        <x:v>Empreinte SHA-256</x:v>
      </x:c>
      <x:c r="I26" s="12" t="str">
        <x:v>Usage</x:v>
      </x:c>
      <x:c r="J26" s="2"/>
      <x:c r="K26" s="2"/>
      <x:c r="L26" s="2"/>
    </x:row>
    <x:row r="27">
      <x:c r="A27" s="13" t="str">
        <x:v>ST10</x:v>
      </x:c>
      <x:c r="B27" s="21" t="str">
        <x:v>Kitting et vérification</x:v>
      </x:c>
      <x:c r="C27" s="23" t="n">
        <x:v>180</x:v>
      </x:c>
      <x:c r="D27" s="23" t="n">
        <x:v>180</x:v>
      </x:c>
      <x:c r="E27" s="23" t="n">
        <x:v>0</x:v>
      </x:c>
      <x:c r="F27" s="2"/>
      <x:c r="G27" s="21" t="str">
        <x:v>bottleneck_metrics.json</x:v>
      </x:c>
      <x:c r="H27" s="21" t="str">
        <x:v>7b4e79ad2d5ec156b90b6391c77dfef47a1bb8670acad7cb33be7b97eadbfe5f</x:v>
      </x:c>
      <x:c r="I27" s="21" t="str">
        <x:v>Équilibrage initial</x:v>
      </x:c>
      <x:c r="J27" s="2"/>
      <x:c r="K27" s="2"/>
      <x:c r="L27" s="2"/>
    </x:row>
    <x:row r="28">
      <x:c r="A28" s="13" t="str">
        <x:v>ST20</x:v>
      </x:c>
      <x:c r="B28" s="21" t="str">
        <x:v>Préassemblage mécanique</x:v>
      </x:c>
      <x:c r="C28" s="23" t="n">
        <x:v>215</x:v>
      </x:c>
      <x:c r="D28" s="23" t="n">
        <x:v>215</x:v>
      </x:c>
      <x:c r="E28" s="23" t="n">
        <x:v>0</x:v>
      </x:c>
      <x:c r="F28" s="2"/>
      <x:c r="G28" s="21" t="str">
        <x:v>root_cause_metrics.json</x:v>
      </x:c>
      <x:c r="H28" s="21" t="str">
        <x:v>34e1e6478580db8e78fd869c598399d40b56e331f7e8927a2c7f099adec70db6</x:v>
      </x:c>
      <x:c r="I28" s="21" t="str">
        <x:v>Causes et pertes ST50</x:v>
      </x:c>
      <x:c r="J28" s="2"/>
      <x:c r="K28" s="2"/>
      <x:c r="L28" s="2"/>
    </x:row>
    <x:row r="29">
      <x:c r="A29" s="13" t="str">
        <x:v>ST30</x:v>
      </x:c>
      <x:c r="B29" s="21" t="str">
        <x:v>Montage arbre et roulements</x:v>
      </x:c>
      <x:c r="C29" s="23" t="n">
        <x:v>240</x:v>
      </x:c>
      <x:c r="D29" s="23" t="n">
        <x:v>240</x:v>
      </x:c>
      <x:c r="E29" s="23" t="n">
        <x:v>0</x:v>
      </x:c>
      <x:c r="F29" s="2"/>
      <x:c r="G29" s="21" t="str">
        <x:v>smed_metrics.json</x:v>
      </x:c>
      <x:c r="H29" s="21" t="str">
        <x:v>b9355f0482ac33587de15c422a4c8c31dcd80e2a203abd37faecd443ec526406</x:v>
      </x:c>
      <x:c r="I29" s="21" t="str">
        <x:v>Standard SMED</x:v>
      </x:c>
      <x:c r="J29" s="2"/>
      <x:c r="K29" s="2"/>
      <x:c r="L29" s="2"/>
    </x:row>
    <x:row r="30">
      <x:c r="A30" s="13" t="str">
        <x:v>ST40</x:v>
      </x:c>
      <x:c r="B30" s="21" t="str">
        <x:v>Assemblage et serrage contrôlé</x:v>
      </x:c>
      <x:c r="C30" s="23" t="n">
        <x:v>225</x:v>
      </x:c>
      <x:c r="D30" s="23" t="n">
        <x:v>240</x:v>
      </x:c>
      <x:c r="E30" s="23" t="n">
        <x:v>15</x:v>
      </x:c>
      <x:c r="F30" s="2"/>
      <x:c r="G30" s="22" t="str">
        <x:v>current_state_vsm_metrics.json</x:v>
      </x:c>
      <x:c r="H30" s="22" t="str">
        <x:v>135c70af5a6a240b5ff011c1756eaa6a3a9b15110c5bbc191bd66cee2dbf2f4c</x:v>
      </x:c>
      <x:c r="I30" s="22" t="str">
        <x:v>WIP et flux</x:v>
      </x:c>
      <x:c r="J30" s="2"/>
      <x:c r="K30" s="2"/>
      <x:c r="L30" s="2"/>
    </x:row>
    <x:row r="31">
      <x:c r="A31" s="13" t="str">
        <x:v>ST50</x:v>
      </x:c>
      <x:c r="B31" s="21" t="str">
        <x:v>Essai fonctionnel</x:v>
      </x:c>
      <x:c r="C31" s="23" t="n">
        <x:v>285</x:v>
      </x:c>
      <x:c r="D31" s="23" t="n">
        <x:v>251.42857142857142</x:v>
      </x:c>
      <x:c r="E31" s="23" t="n">
        <x:v>-33.571428571428584</x:v>
      </x:c>
      <x:c r="F31" s="2"/>
      <x:c r="G31" s="2"/>
      <x:c r="H31" s="2"/>
      <x:c r="I31" s="2"/>
      <x:c r="J31" s="2"/>
      <x:c r="K31" s="2"/>
      <x:c r="L31" s="2"/>
    </x:row>
    <x:row r="32">
      <x:c r="A32" s="13" t="str">
        <x:v>ST60</x:v>
      </x:c>
      <x:c r="B32" s="21" t="str">
        <x:v>Contrôle qualité</x:v>
      </x:c>
      <x:c r="C32" s="23" t="n">
        <x:v>200</x:v>
      </x:c>
      <x:c r="D32" s="23" t="n">
        <x:v>218.57142857142858</x:v>
      </x:c>
      <x:c r="E32" s="23" t="n">
        <x:v>18.571428571428584</x:v>
      </x:c>
      <x:c r="F32" s="2"/>
      <x:c r="G32" s="2"/>
      <x:c r="H32" s="2"/>
      <x:c r="I32" s="2"/>
      <x:c r="J32" s="2"/>
      <x:c r="K32" s="2"/>
      <x:c r="L32" s="2"/>
    </x:row>
    <x:row r="33">
      <x:c r="A33" s="14" t="str">
        <x:v>ST70</x:v>
      </x:c>
      <x:c r="B33" s="22" t="str">
        <x:v>Identification et conditionnement</x:v>
      </x:c>
      <x:c r="C33" s="24" t="n">
        <x:v>160</x:v>
      </x:c>
      <x:c r="D33" s="24" t="n">
        <x:v>160</x:v>
      </x:c>
      <x:c r="E33" s="24" t="n">
        <x:v>0</x:v>
      </x:c>
      <x:c r="F33" s="2"/>
      <x:c r="G33" s="35" t="str">
        <x:v>Limite essentielle : les gains maintenance et qualité sont des hypothèses de pilote, pas des résultats observés. Le scénario sépare donc les mesures prouvées des récupérations estimées.</x:v>
      </x:c>
      <x:c r="H33" s="36"/>
      <x:c r="I33" s="36"/>
      <x:c r="J33" s="36"/>
      <x:c r="K33" s="36"/>
      <x:c r="L33" s="37"/>
    </x:row>
    <x:row r="34">
      <x:c r="A34" s="2"/>
      <x:c r="B34" s="2"/>
      <x:c r="C34" s="2"/>
      <x:c r="D34" s="2"/>
      <x:c r="E34" s="2"/>
      <x:c r="F34" s="2"/>
      <x:c r="G34" s="38"/>
      <x:c r="H34" s="39"/>
      <x:c r="I34" s="39"/>
      <x:c r="J34" s="39"/>
      <x:c r="K34" s="39"/>
      <x:c r="L34" s="40"/>
    </x:row>
    <x:row r="35">
      <x:c r="A35" s="2"/>
      <x:c r="B35" s="2"/>
      <x:c r="C35" s="2"/>
      <x:c r="D35" s="2"/>
      <x:c r="E35" s="2"/>
      <x:c r="F35" s="2"/>
      <x:c r="G35" s="41"/>
      <x:c r="H35" s="42"/>
      <x:c r="I35" s="42"/>
      <x:c r="J35" s="42"/>
      <x:c r="K35" s="42"/>
      <x:c r="L35" s="43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</x:sheetData>
  <x:mergeCells>
    <x:mergeCell ref="G33:L35"/>
  </x:mergeCells>
  <x:pageMargins left="0.7" right="0.7" top="0.75" bottom="0.75" header="0.3" footer="0.3"/>
</x:worksheet>
</file>