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c90aacd38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8aec801e967a4be8"/>
    <x:sheet xmlns:r="http://schemas.openxmlformats.org/officeDocument/2006/relationships" name="Postes et variantes" sheetId="2" r:id="Rb79f517d44874709"/>
    <x:sheet xmlns:r="http://schemas.openxmlformats.org/officeDocument/2006/relationships" name="Pareto défauts" sheetId="3" r:id="R7f0d8444e54e468a"/>
    <x:sheet xmlns:r="http://schemas.openxmlformats.org/officeDocument/2006/relationships" name="Tendance" sheetId="4" r:id="Rc9c7c917f2e841ee"/>
    <x:sheet xmlns:r="http://schemas.openxmlformats.org/officeDocument/2006/relationships" name="Sources" sheetId="5" r:id="R8acfb55d0a67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%"/>
    <x:numFmt numFmtId="202" formatCode="#,##0.0"/>
    <x:numFmt numFmtId="203" formatCode="0.00%"/>
    <x:numFmt numFmtId="204" formatCode="#,##0.0 &quot;min&quot;"/>
  </x:numFmts>
  <x:fonts count="15">
    <x:font>
      <x:sz val="11"/>
      <x:name val="Carlito"/>
    </x:font>
    <x:font>
      <x:b/>
      <x:sz val="15"/>
      <x:color rgb="FF0A1F33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6202A"/>
      <x:name val="Arial"/>
    </x:font>
    <x:font>
      <x:b/>
      <x:sz val="10"/>
      <x:color rgb="FF26734D"/>
      <x:name val="Arial"/>
    </x:font>
    <x:font>
      <x:b/>
      <x:sz val="10"/>
      <x:color rgb="FFC0392B"/>
      <x:name val="Arial"/>
    </x:font>
    <x:font>
      <x:sz val="9"/>
      <x:color rgb="FF16202A"/>
      <x:name val="Arial"/>
    </x:font>
    <x:font>
      <x:b/>
      <x:sz val="9"/>
      <x:color rgb="FF16202A"/>
      <x:name val="Arial"/>
    </x:font>
    <x:font>
      <x:b/>
      <x:sz val="17"/>
      <x:color rgb="FF0A1F33"/>
      <x:name val="Arial"/>
    </x:font>
    <x:font>
      <x:b/>
      <x:sz val="17"/>
      <x:color rgb="FFE67E22"/>
      <x:name val="Arial"/>
    </x:font>
    <x:font>
      <x:b/>
      <x:sz val="17"/>
      <x:color rgb="FFC0392B"/>
      <x:name val="Arial"/>
    </x:font>
    <x:font>
      <x:b/>
      <x:sz val="17"/>
      <x:color rgb="FF26734D"/>
      <x:name val="Arial"/>
    </x:font>
    <x:font>
      <x:b/>
      <x:sz val="9"/>
      <x:color rgb="FF0A1F33"/>
      <x:name val="Arial"/>
    </x:font>
    <x:font>
      <x:b/>
      <x:sz val="13"/>
      <x:color rgb="FF16202A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0A1F33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  <x:fill>
      <x:patternFill patternType="solid">
        <x:fgColor rgb="FFFDE9E7"/>
      </x:patternFill>
    </x:fill>
    <x:fill>
      <x:patternFill patternType="solid">
        <x:fgColor rgb="FFEAF3FF"/>
      </x:patternFill>
    </x:fill>
    <x:fill>
      <x:patternFill patternType="solid">
        <x:fgColor rgb="FFE67E22"/>
      </x:patternFill>
    </x:fill>
    <x:fill>
      <x:patternFill patternType="solid">
        <x:fgColor rgb="FFC0392B"/>
      </x:patternFill>
    </x:fill>
    <x:fill>
      <x:patternFill patternType="solid">
        <x:fgColor rgb="FF26734D"/>
      </x:patternFill>
    </x:fill>
    <x:fill>
      <x:patternFill patternType="solid">
        <x:fgColor rgb="FFE2F0D9"/>
      </x:patternFill>
    </x:fill>
  </x:fills>
  <x:borders count="16">
    <x:border/>
    <x:border>
      <x:bottom style="thin">
        <x:color rgb="FF28B8D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202" fontId="4" fillId="4" borderId="3" xfId="0" applyNumberFormat="1" applyFont="1" applyFill="1" applyBorder="1" applyAlignment="1">
      <x:alignment vertical="center"/>
    </x:xf>
    <x:xf numFmtId="202" fontId="4" fillId="4" borderId="4" xfId="0" applyNumberFormat="1" applyFont="1" applyFill="1" applyBorder="1" applyAlignment="1">
      <x:alignment vertical="center"/>
    </x:xf>
    <x:xf numFmtId="203" fontId="4" fillId="4" borderId="3" xfId="0" applyNumberFormat="1" applyFont="1" applyFill="1" applyBorder="1" applyAlignment="1">
      <x:alignment vertical="center"/>
    </x:xf>
    <x:xf numFmtId="203" fontId="4" fillId="4" borderId="4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200" fontId="6" fillId="5" borderId="4" xfId="0" applyNumberFormat="1" applyFont="1" applyFill="1" applyBorder="1" applyAlignment="1">
      <x:alignment vertical="center"/>
    </x:xf>
    <x:xf numFmtId="201" fontId="6" fillId="5" borderId="4" xfId="0" applyNumberFormat="1" applyFont="1" applyFill="1" applyBorder="1" applyAlignment="1">
      <x:alignment vertical="center"/>
    </x:xf>
    <x:xf numFmtId="202" fontId="6" fillId="5" borderId="4" xfId="0" applyNumberFormat="1" applyFont="1" applyFill="1" applyBorder="1" applyAlignment="1">
      <x:alignment vertical="center"/>
    </x:xf>
    <x:xf numFmtId="201" fontId="4" fillId="3" borderId="4" xfId="0" applyNumberFormat="1" applyFont="1" applyFill="1" applyBorder="1" applyAlignment="1">
      <x:alignment vertical="center"/>
    </x:xf>
    <x:xf numFmtId="202" fontId="4" fillId="3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/>
    </x:xf>
    <x:xf numFmtId="200" fontId="6" fillId="3" borderId="3" xfId="0" applyNumberFormat="1" applyFont="1" applyFill="1" applyBorder="1" applyAlignment="1">
      <x:alignment vertical="center"/>
    </x:xf>
    <x:xf numFmtId="203" fontId="6" fillId="3" borderId="3" xfId="0" applyNumberFormat="1" applyFont="1" applyFill="1" applyBorder="1" applyAlignment="1">
      <x:alignment vertical="center"/>
    </x:xf>
    <x:xf numFmtId="203" fontId="4" fillId="3" borderId="4" xfId="0" applyNumberFormat="1" applyFont="1" applyFill="1" applyBorder="1" applyAlignment="1">
      <x:alignment vertical="center"/>
    </x:xf>
    <x:xf numFmtId="202" fontId="6" fillId="3" borderId="3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2" borderId="13" xfId="0" applyNumberFormat="1" applyFont="1" applyFill="1" applyBorder="1"/>
    <x:xf numFmtId="0" fontId="3" fillId="2" borderId="13" xfId="0" applyNumberFormat="1" applyFont="1" applyFill="1" applyBorder="1"/>
    <x:xf numFmtId="0" fontId="0" fillId="6" borderId="14" xfId="0" applyNumberFormat="1" applyFont="1" applyFill="1" applyBorder="1"/>
    <x:xf numFmtId="0" fontId="9" fillId="6" borderId="14" xfId="0" applyNumberFormat="1" applyFont="1" applyFill="1" applyBorder="1"/>
    <x:xf numFmtId="0" fontId="9" fillId="6" borderId="14" xfId="0" applyNumberFormat="1" applyFont="1" applyFill="1" applyBorder="1" applyAlignment="1">
      <x:alignment horizontal="center"/>
    </x:xf>
    <x:xf numFmtId="201" fontId="9" fillId="6" borderId="14" xfId="0" applyNumberFormat="1" applyFont="1" applyFill="1" applyBorder="1" applyAlignment="1">
      <x:alignment horizontal="center"/>
    </x:xf>
    <x:xf numFmtId="0" fontId="2" fillId="0" borderId="15" xfId="0" applyNumberFormat="1" applyFont="1" applyFill="1" applyBorder="1"/>
    <x:xf numFmtId="0" fontId="2" fillId="0" borderId="15" xfId="0" applyNumberFormat="1" applyFont="1" applyFill="1" applyBorder="1" applyAlignment="1">
      <x:alignment horizontal="center"/>
    </x:xf>
    <x:xf numFmtId="0" fontId="0" fillId="7" borderId="13" xfId="0" applyNumberFormat="1" applyFont="1" applyFill="1" applyBorder="1"/>
    <x:xf numFmtId="0" fontId="3" fillId="7" borderId="13" xfId="0" applyNumberFormat="1" applyFont="1" applyFill="1" applyBorder="1"/>
    <x:xf numFmtId="0" fontId="10" fillId="6" borderId="14" xfId="0" applyNumberFormat="1" applyFont="1" applyFill="1" applyBorder="1"/>
    <x:xf numFmtId="0" fontId="10" fillId="6" borderId="14" xfId="0" applyNumberFormat="1" applyFont="1" applyFill="1" applyBorder="1" applyAlignment="1">
      <x:alignment horizontal="center"/>
    </x:xf>
    <x:xf numFmtId="201" fontId="10" fillId="6" borderId="14" xfId="0" applyNumberFormat="1" applyFont="1" applyFill="1" applyBorder="1" applyAlignment="1">
      <x:alignment horizontal="center"/>
    </x:xf>
    <x:xf numFmtId="0" fontId="0" fillId="8" borderId="13" xfId="0" applyNumberFormat="1" applyFont="1" applyFill="1" applyBorder="1"/>
    <x:xf numFmtId="0" fontId="3" fillId="8" borderId="13" xfId="0" applyNumberFormat="1" applyFont="1" applyFill="1" applyBorder="1"/>
    <x:xf numFmtId="0" fontId="0" fillId="5" borderId="14" xfId="0" applyNumberFormat="1" applyFont="1" applyFill="1" applyBorder="1"/>
    <x:xf numFmtId="0" fontId="11" fillId="5" borderId="14" xfId="0" applyNumberFormat="1" applyFont="1" applyFill="1" applyBorder="1"/>
    <x:xf numFmtId="0" fontId="11" fillId="5" borderId="14" xfId="0" applyNumberFormat="1" applyFont="1" applyFill="1" applyBorder="1" applyAlignment="1">
      <x:alignment horizontal="center"/>
    </x:xf>
    <x:xf numFmtId="201" fontId="11" fillId="5" borderId="14" xfId="0" applyNumberFormat="1" applyFont="1" applyFill="1" applyBorder="1" applyAlignment="1">
      <x:alignment horizontal="center"/>
    </x:xf>
    <x:xf numFmtId="0" fontId="0" fillId="9" borderId="13" xfId="0" applyNumberFormat="1" applyFont="1" applyFill="1" applyBorder="1"/>
    <x:xf numFmtId="0" fontId="3" fillId="9" borderId="13" xfId="0" applyNumberFormat="1" applyFont="1" applyFill="1" applyBorder="1"/>
    <x:xf numFmtId="0" fontId="0" fillId="10" borderId="14" xfId="0" applyNumberFormat="1" applyFont="1" applyFill="1" applyBorder="1"/>
    <x:xf numFmtId="0" fontId="12" fillId="10" borderId="14" xfId="0" applyNumberFormat="1" applyFont="1" applyFill="1" applyBorder="1"/>
    <x:xf numFmtId="0" fontId="12" fillId="10" borderId="14" xfId="0" applyNumberFormat="1" applyFont="1" applyFill="1" applyBorder="1" applyAlignment="1">
      <x:alignment horizontal="center"/>
    </x:xf>
    <x:xf numFmtId="201" fontId="12" fillId="10" borderId="14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200" fontId="14" fillId="0" borderId="0" xfId="0" applyNumberFormat="1" applyFont="1" applyFill="1" applyBorder="1"/>
    <x:xf numFmtId="200" fontId="0" fillId="0" borderId="0" xfId="0" applyNumberFormat="1" applyFont="1" applyFill="1" applyBorder="1"/>
    <x:xf numFmtId="204" fontId="14" fillId="0" borderId="0" xfId="0" applyNumberFormat="1" applyFont="1" applyFill="1" applyBorder="1"/>
    <x:xf numFmtId="203" fontId="6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3fd0b40a94969" /><Relationship Type="http://schemas.openxmlformats.org/officeDocument/2006/relationships/theme" Target="/xl/theme/theme1.xml" Id="R4963855bb6704445" /><Relationship Type="http://schemas.openxmlformats.org/officeDocument/2006/relationships/sharedStrings" Target="/xl/sharedStrings.xml" Id="R8746acc9f8154729" /><Relationship Type="http://schemas.openxmlformats.org/officeDocument/2006/relationships/worksheet" Target="/xl/worksheets/sheet1.xml" Id="R8aec801e967a4be8" /><Relationship Type="http://schemas.openxmlformats.org/officeDocument/2006/relationships/worksheet" Target="/xl/worksheets/sheet2.xml" Id="Rb79f517d44874709" /><Relationship Type="http://schemas.openxmlformats.org/officeDocument/2006/relationships/worksheet" Target="/xl/worksheets/sheet3.xml" Id="R7f0d8444e54e468a" /><Relationship Type="http://schemas.openxmlformats.org/officeDocument/2006/relationships/worksheet" Target="/xl/worksheets/sheet4.xml" Id="Rc9c7c917f2e841ee" /><Relationship Type="http://schemas.openxmlformats.org/officeDocument/2006/relationships/worksheet" Target="/xl/worksheets/sheet5.xml" Id="R8acfb55d0a674a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687759f771424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8bb9192558d46f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9589470568c4bb3" /><Relationship Type="http://schemas.openxmlformats.org/officeDocument/2006/relationships/chart" Target="/xl/drawings/charts/chart4.xml" Id="R99cd9b7ced334f1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1a6df6b3920849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Retouches par poste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Retouches</c:v>
          </c:tx>
          <c:spPr>
            <a:solidFill xmlns:a="http://schemas.openxmlformats.org/drawingml/2006/main">
              <a:srgbClr val="E67E22"/>
            </a:solidFill>
          </c:spPr>
          <c:cat>
            <c:strRef>
              <c:f>'Synthèse'!$A$17:$A$23</c:f>
              <c:strCache>
                <c:ptCount val="0"/>
              </c:strCache>
            </c:strRef>
          </c:cat>
          <c:val>
            <c:numRef>
              <c:f>'Synthèse'!$D$17:$D$23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FPY et rendement final par poste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FPY</c:v>
          </c:tx>
          <c:spPr>
            <a:ln xmlns:a="http://schemas.openxmlformats.org/drawingml/2006/main" w="1905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'Postes et variantes'!$A$7:$A$13</c:f>
              <c:strCache>
                <c:ptCount val="0"/>
              </c:strCache>
            </c:strRef>
          </c:cat>
          <c:val>
            <c:numRef>
              <c:f>'Postes et variantes'!$G$7:$G$13</c:f>
              <c:numCache>
                <c:formatCode>0.000%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Rendement final</c:v>
          </c:tx>
          <c:spPr>
            <a:ln xmlns:a="http://schemas.openxmlformats.org/drawingml/2006/main" w="19050">
              <a:solidFill>
                <a:srgbClr val="26734D"/>
              </a:solidFill>
              <a:prstDash val="solid"/>
            </a:ln>
          </c:spPr>
          <c:marker>
            <c:symbol val="none"/>
          </c:marker>
          <c:cat>
            <c:strRef>
              <c:f>'Postes et variantes'!$A$7:$A$13</c:f>
              <c:strCache>
                <c:ptCount val="0"/>
              </c:strCache>
            </c:strRef>
          </c:cat>
          <c:val>
            <c:numRef>
              <c:f>'Postes et variantes'!$J$7:$J$13</c:f>
              <c:numCache>
                <c:formatCode>0.000%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Occurrences par code défaut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Occurrences</c:v>
          </c:tx>
          <c:spPr>
            <a:solidFill xmlns:a="http://schemas.openxmlformats.org/drawingml/2006/main">
              <a:srgbClr val="E67E22"/>
            </a:solidFill>
          </c:spPr>
          <c:cat>
            <c:strRef>
              <c:f>'Pareto défauts'!$B$7:$B$16</c:f>
              <c:strCache>
                <c:ptCount val="0"/>
              </c:strCache>
            </c:strRef>
          </c:cat>
          <c:val>
            <c:numRef>
              <c:f>'Pareto défauts'!$E$7:$E$16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Part cumulée des défauts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Cumul</c:v>
          </c:tx>
          <c:spPr>
            <a:ln xmlns:a="http://schemas.openxmlformats.org/drawingml/2006/main" w="19050">
              <a:solidFill>
                <a:srgbClr val="0B63CE"/>
              </a:solidFill>
              <a:prstDash val="solid"/>
            </a:ln>
          </c:spPr>
          <c:marker>
            <c:symbol val="none"/>
          </c:marker>
          <c:cat>
            <c:strRef>
              <c:f>'Pareto défauts'!$B$7:$B$16</c:f>
              <c:strCache>
                <c:ptCount val="0"/>
              </c:strCache>
            </c:strRef>
          </c:cat>
          <c:val>
            <c:numRef>
              <c:f>'Pareto défauts'!$G$7:$G$16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FPY quotidien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FPY</c:v>
          </c:tx>
          <c:spPr>
            <a:ln xmlns:a="http://schemas.openxmlformats.org/drawingml/2006/main" w="19050">
              <a:solidFill>
                <a:srgbClr val="C0392B"/>
              </a:solidFill>
              <a:prstDash val="solid"/>
            </a:ln>
          </c:spPr>
          <c:marker>
            <c:symbol val="none"/>
          </c:marker>
          <c:cat>
            <c:strRef>
              <c:f>'Tendance'!$A$7:$A$26</c:f>
              <c:strCache>
                <c:ptCount val="0"/>
              </c:strCache>
            </c:strRef>
          </c:cat>
          <c:val>
            <c:numRef>
              <c:f>'Tendance'!$G$7:$G$26</c:f>
              <c:numCache>
                <c:formatCode>0.000%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14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687759f771424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bb9192558d46f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589470568c4bb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19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cd9b7ced334f1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5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6df6b3920849f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dfb3fe159249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ba08eeff53e4e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c9dfb9db36a49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8ad51b40d87480d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23" hidden="0" customWidth="1"/>
    <x:col min="4" max="4" width="23" hidden="0" customWidth="1"/>
    <x:col min="7" max="7" width="23" hidden="0" customWidth="1"/>
    <x:col min="10" max="10" width="23" hidden="0" customWidth="1"/>
    <x:col min="2" max="2" width="13" hidden="0" customWidth="1"/>
    <x:col min="3" max="3" width="13" hidden="0" customWidth="1"/>
    <x:col min="5" max="5" width="13" hidden="0" customWidth="1"/>
    <x:col min="6" max="6" width="13" hidden="0" customWidth="1"/>
    <x:col min="8" max="8" width="4" hidden="0" customWidth="1"/>
    <x:col min="9" max="9" width="16" hidden="0" customWidth="1"/>
    <x:col min="11" max="11" width="12" hidden="0" customWidth="1"/>
    <x:col min="12" max="12" width="12" hidden="0" customWidth="1"/>
  </x:cols>
  <x:sheetData>
    <x:row r="1" ht="22" customHeight="1"/>
    <x:row r="2" ht="22" customHeight="1">
      <x:c r="A2" s="1" t="str">
        <x:v>EMA-120 - Quality Performance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3" t="str">
        <x:v>FPY, retouche, rebut, variantes, postes, défauts et tendances. Les bons après retouche restent distincts des bons du premier coup.</x:v>
      </x:c>
    </x:row>
    <x:row r="5" ht="22" customHeight="1"/>
    <x:row r="6" ht="28" customHeight="1">
      <x:c r="A6" s="63" t="str">
        <x:v>FPY global</x:v>
      </x:c>
      <x:c r="D6" s="71" t="str">
        <x:v>Taux de retouche</x:v>
      </x:c>
      <x:c r="G6" s="76" t="str">
        <x:v>Taux de rebut</x:v>
      </x:c>
      <x:c r="J6" s="82" t="str">
        <x:v>Rendement final</x:v>
      </x:c>
    </x:row>
    <x:row r="7" ht="36" customHeight="1">
      <x:c r="A7" s="67" t="n">
        <x:f>Sources!B9/Sources!B8</x:f>
        <x:v>0.9948221080296552</x:v>
      </x:c>
      <x:c r="D7" s="74" t="n">
        <x:f>Sources!B11/Sources!B8</x:f>
        <x:v>0.005177891970344801</x:v>
      </x:c>
      <x:c r="G7" s="80" t="n">
        <x:f>Sources!B13/Sources!B8</x:f>
        <x:v>0.00023535872592476365</x:v>
      </x:c>
      <x:c r="J7" s="86" t="n">
        <x:f>(Sources!B9+Sources!B12)/Sources!B8</x:f>
        <x:v>0.9997646412740753</x:v>
      </x:c>
    </x:row>
    <x:row r="8" ht="22" customHeight="1">
      <x:c r="A8" s="69" t="str">
        <x:v>bons au premier passage</x:v>
      </x:c>
      <x:c r="D8" s="69" t="str">
        <x:v>132 unités orientées retouche</x:v>
      </x:c>
      <x:c r="G8" s="69" t="str">
        <x:v>6 rebuts finaux</x:v>
      </x:c>
      <x:c r="J8" s="69" t="str">
        <x:v>après récupération</x:v>
      </x:c>
    </x:row>
    <x:row r="9" ht="22" customHeight="1"/>
    <x:row r="10" ht="22" customHeight="1"/>
    <x:row r="11" ht="22" customHeight="1">
      <x:c r="A11" s="87" t="str">
        <x:v>Bon 1er passage</x:v>
      </x:c>
      <x:c r="B11"/>
      <x:c r="C11"/>
      <x:c r="D11" s="87" t="str">
        <x:v>Bon après retouche</x:v>
      </x:c>
      <x:c r="E11"/>
      <x:c r="F11"/>
      <x:c r="G11" s="87" t="str">
        <x:v>Rebut</x:v>
      </x:c>
      <x:c r="H11"/>
      <x:c r="I11"/>
      <x:c r="J11" s="87" t="str">
        <x:v>Temps de retouche</x:v>
      </x:c>
      <x:c r="K11"/>
    </x:row>
    <x:row r="12" ht="22" customHeight="1">
      <x:c r="A12" s="89" t="n">
        <x:f>Sources!B9</x:f>
        <x:v>25361</x:v>
      </x:c>
      <x:c r="B12" s="90"/>
      <x:c r="C12" s="90"/>
      <x:c r="D12" s="89" t="n">
        <x:f>Sources!B12</x:f>
        <x:v>126</x:v>
      </x:c>
      <x:c r="E12" s="90"/>
      <x:c r="F12" s="90"/>
      <x:c r="G12" s="89" t="n">
        <x:f>Sources!B13</x:f>
        <x:v>6</x:v>
      </x:c>
      <x:c r="J12" s="91" t="n">
        <x:f>Sources!B14/60</x:f>
        <x:v>1187.5</x:v>
      </x:c>
    </x:row>
    <x:row r="13" ht="22" customHeight="1"/>
    <x:row r="14" ht="22" customHeight="1"/>
    <x:row r="15" ht="22" customHeight="1"/>
    <x:row r="16" ht="40" customHeight="1">
      <x:c r="A16" s="9" t="str">
        <x:v>Poste</x:v>
      </x:c>
      <x:c r="B16" s="9" t="str">
        <x:v>Total</x:v>
      </x:c>
      <x:c r="C16" s="9" t="str">
        <x:v>Bon 1er passage</x:v>
      </x:c>
      <x:c r="D16" s="9" t="str">
        <x:v>Retouches</x:v>
      </x:c>
      <x:c r="E16" s="9" t="str">
        <x:v>Bons après retouche</x:v>
      </x:c>
      <x:c r="F16" s="9" t="str">
        <x:v>Rebuts</x:v>
      </x:c>
      <x:c r="G16" s="9" t="str">
        <x:v>FPY</x:v>
      </x:c>
    </x:row>
    <x:row r="17" ht="22" customHeight="1">
      <x:c r="A17" s="18" t="str">
        <x:f>Sources!A20</x:f>
        <x:v>ST10</x:v>
      </x:c>
      <x:c r="B17" s="20" t="n">
        <x:f>Sources!B20</x:f>
        <x:v>4200</x:v>
      </x:c>
      <x:c r="C17" s="20" t="n">
        <x:f>Sources!C20</x:f>
        <x:v>4200</x:v>
      </x:c>
      <x:c r="D17" s="20" t="n">
        <x:f>Sources!E20</x:f>
        <x:v>0</x:v>
      </x:c>
      <x:c r="E17" s="20" t="n">
        <x:f>Sources!F20</x:f>
        <x:v>0</x:v>
      </x:c>
      <x:c r="F17" s="20" t="n">
        <x:f>Sources!G20</x:f>
        <x:v>0</x:v>
      </x:c>
      <x:c r="G17" s="26" t="n">
        <x:f>C17/B17</x:f>
        <x:v>1</x:v>
      </x:c>
    </x:row>
    <x:row r="18" ht="22" customHeight="1">
      <x:c r="A18" s="19" t="str">
        <x:f>Sources!A21</x:f>
        <x:v>ST20</x:v>
      </x:c>
      <x:c r="B18" s="21" t="n">
        <x:f>Sources!B21</x:f>
        <x:v>4198</x:v>
      </x:c>
      <x:c r="C18" s="21" t="n">
        <x:f>Sources!C21</x:f>
        <x:v>4198</x:v>
      </x:c>
      <x:c r="D18" s="21" t="n">
        <x:f>Sources!E21</x:f>
        <x:v>0</x:v>
      </x:c>
      <x:c r="E18" s="21" t="n">
        <x:f>Sources!F21</x:f>
        <x:v>0</x:v>
      </x:c>
      <x:c r="F18" s="21" t="n">
        <x:f>Sources!G21</x:f>
        <x:v>0</x:v>
      </x:c>
      <x:c r="G18" s="27" t="n">
        <x:f>C18/B18</x:f>
        <x:v>1</x:v>
      </x:c>
    </x:row>
    <x:row r="19" ht="22" customHeight="1">
      <x:c r="A19" s="19" t="str">
        <x:f>Sources!A22</x:f>
        <x:v>ST30</x:v>
      </x:c>
      <x:c r="B19" s="21" t="n">
        <x:f>Sources!B22</x:f>
        <x:v>3826</x:v>
      </x:c>
      <x:c r="C19" s="21" t="n">
        <x:f>Sources!C22</x:f>
        <x:v>3826</x:v>
      </x:c>
      <x:c r="D19" s="21" t="n">
        <x:f>Sources!E22</x:f>
        <x:v>0</x:v>
      </x:c>
      <x:c r="E19" s="21" t="n">
        <x:f>Sources!F22</x:f>
        <x:v>0</x:v>
      </x:c>
      <x:c r="F19" s="21" t="n">
        <x:f>Sources!G22</x:f>
        <x:v>0</x:v>
      </x:c>
      <x:c r="G19" s="27" t="n">
        <x:f>C19/B19</x:f>
        <x:v>1</x:v>
      </x:c>
    </x:row>
    <x:row r="20" ht="22" customHeight="1">
      <x:c r="A20" s="19" t="str">
        <x:f>Sources!A23</x:f>
        <x:v>ST40</x:v>
      </x:c>
      <x:c r="B20" s="21" t="n">
        <x:f>Sources!B23</x:f>
        <x:v>3821</x:v>
      </x:c>
      <x:c r="C20" s="21" t="n">
        <x:f>Sources!C23</x:f>
        <x:v>3797</x:v>
      </x:c>
      <x:c r="D20" s="21" t="n">
        <x:f>Sources!E23</x:f>
        <x:v>24</x:v>
      </x:c>
      <x:c r="E20" s="21" t="n">
        <x:f>Sources!F23</x:f>
        <x:v>23</x:v>
      </x:c>
      <x:c r="F20" s="21" t="n">
        <x:f>Sources!G23</x:f>
        <x:v>1</x:v>
      </x:c>
      <x:c r="G20" s="27" t="n">
        <x:f>C20/B20</x:f>
        <x:v>0.9937189217482334</x:v>
      </x:c>
    </x:row>
    <x:row r="21" ht="22" customHeight="1">
      <x:c r="A21" s="33" t="str">
        <x:f>Sources!A24</x:f>
        <x:v>ST50</x:v>
      </x:c>
      <x:c r="B21" s="34" t="n">
        <x:f>Sources!B24</x:f>
        <x:v>3156</x:v>
      </x:c>
      <x:c r="C21" s="34" t="n">
        <x:f>Sources!C24</x:f>
        <x:v>3088</x:v>
      </x:c>
      <x:c r="D21" s="34" t="n">
        <x:f>Sources!E24</x:f>
        <x:v>68</x:v>
      </x:c>
      <x:c r="E21" s="34" t="n">
        <x:f>Sources!F24</x:f>
        <x:v>65</x:v>
      </x:c>
      <x:c r="F21" s="34" t="n">
        <x:f>Sources!G24</x:f>
        <x:v>3</x:v>
      </x:c>
      <x:c r="G21" s="92" t="n">
        <x:f>C21/B21</x:f>
        <x:v>0.9784537389100126</x:v>
      </x:c>
    </x:row>
    <x:row r="22" ht="22" customHeight="1">
      <x:c r="A22" s="19" t="str">
        <x:f>Sources!A25</x:f>
        <x:v>ST60</x:v>
      </x:c>
      <x:c r="B22" s="21" t="n">
        <x:f>Sources!B25</x:f>
        <x:v>3148</x:v>
      </x:c>
      <x:c r="C22" s="21" t="n">
        <x:f>Sources!C25</x:f>
        <x:v>3108</x:v>
      </x:c>
      <x:c r="D22" s="21" t="n">
        <x:f>Sources!E25</x:f>
        <x:v>40</x:v>
      </x:c>
      <x:c r="E22" s="21" t="n">
        <x:f>Sources!F25</x:f>
        <x:v>38</x:v>
      </x:c>
      <x:c r="F22" s="21" t="n">
        <x:f>Sources!G25</x:f>
        <x:v>2</x:v>
      </x:c>
      <x:c r="G22" s="27" t="n">
        <x:f>C22/B22</x:f>
        <x:v>0.9872935196950444</x:v>
      </x:c>
    </x:row>
    <x:row r="23" ht="22" customHeight="1">
      <x:c r="A23" s="19" t="str">
        <x:f>Sources!A26</x:f>
        <x:v>ST70</x:v>
      </x:c>
      <x:c r="B23" s="21" t="n">
        <x:f>Sources!B26</x:f>
        <x:v>3144</x:v>
      </x:c>
      <x:c r="C23" s="21" t="n">
        <x:f>Sources!C26</x:f>
        <x:v>3144</x:v>
      </x:c>
      <x:c r="D23" s="21" t="n">
        <x:f>Sources!E26</x:f>
        <x:v>0</x:v>
      </x:c>
      <x:c r="E23" s="21" t="n">
        <x:f>Sources!F26</x:f>
        <x:v>0</x:v>
      </x:c>
      <x:c r="F23" s="21" t="n">
        <x:f>Sources!G26</x:f>
        <x:v>0</x:v>
      </x:c>
      <x:c r="G23" s="27" t="n">
        <x:f>C23/B23</x:f>
        <x:v>1</x:v>
      </x:c>
    </x:row>
    <x:row r="24" ht="22" customHeight="1"/>
    <x:row r="25" ht="22" customHeight="1"/>
    <x:row r="26" ht="22" customHeight="1"/>
    <x:row r="27" ht="22" customHeight="1"/>
    <x:row r="28" ht="38" customHeight="1">
      <x:c r="A28" s="46" t="str">
        <x:v>Résultat</x:v>
      </x:c>
      <x:c r="B28" s="47" t="str">
        <x:v>Le FPY global est de 99,482 %. Après retouche, le rendement final atteint 99,976 %, mais cet écart cache 132 interventions de récupération.</x:v>
      </x:c>
      <x:c r="C28" s="47"/>
      <x:c r="D28" s="47"/>
      <x:c r="E28" s="47"/>
      <x:c r="F28" s="47"/>
      <x:c r="G28" s="47"/>
      <x:c r="H28" s="47"/>
      <x:c r="I28" s="47"/>
      <x:c r="J28" s="47"/>
      <x:c r="K28" s="47"/>
      <x:c r="L28" s="48"/>
    </x:row>
    <x:row r="29" ht="38" customHeight="1">
      <x:c r="A29" s="49" t="str">
        <x:v>Poste</x:v>
      </x:c>
      <x:c r="B29" s="45" t="str">
        <x:v>ST50 est le point qualité prioritaire : 97,85 % de FPY, 68 retouches et 3 rebuts. Le diagnostic est cohérent avec le goulot du Jour 8.</x:v>
      </x:c>
      <x:c r="C29" s="45"/>
      <x:c r="D29" s="45"/>
      <x:c r="E29" s="45"/>
      <x:c r="F29" s="45"/>
      <x:c r="G29" s="45"/>
      <x:c r="H29" s="45"/>
      <x:c r="I29" s="45"/>
      <x:c r="J29" s="45"/>
      <x:c r="K29" s="45"/>
      <x:c r="L29" s="50"/>
    </x:row>
    <x:row r="30" ht="38" customHeight="1">
      <x:c r="A30" s="49" t="str">
        <x:v>Variante</x:v>
      </x:c>
      <x:c r="B30" s="45" t="str">
        <x:v>EMA-120C présente le FPY le plus faible à 99,21 %, devant EMA-120B à 99,37 % et EMA-120A à 99,66 %.</x:v>
      </x:c>
      <x:c r="C30" s="45"/>
      <x:c r="D30" s="45"/>
      <x:c r="E30" s="45"/>
      <x:c r="F30" s="45"/>
      <x:c r="G30" s="45"/>
      <x:c r="H30" s="45"/>
      <x:c r="I30" s="45"/>
      <x:c r="J30" s="45"/>
      <x:c r="K30" s="45"/>
      <x:c r="L30" s="50"/>
    </x:row>
    <x:row r="31" ht="38" customHeight="1">
      <x:c r="A31" s="49" t="str">
        <x:v>Défaut n°1</x:v>
      </x:c>
      <x:c r="B31" s="45" t="str">
        <x:v>QL-C06 - réponse fonctionnelle hors spécification : 31 cas, 23,48 % des défauts initiaux et 324,0 minutes de retouche.</x:v>
      </x:c>
      <x:c r="C31" s="45"/>
      <x:c r="D31" s="45"/>
      <x:c r="E31" s="45"/>
      <x:c r="F31" s="45"/>
      <x:c r="G31" s="45"/>
      <x:c r="H31" s="45"/>
      <x:c r="I31" s="45"/>
      <x:c r="J31" s="45"/>
      <x:c r="K31" s="45"/>
      <x:c r="L31" s="50"/>
    </x:row>
    <x:row r="32" ht="38" customHeight="1">
      <x:c r="A32" s="49" t="str">
        <x:v>Priorité</x:v>
      </x:c>
      <x:c r="B32" s="45" t="str">
        <x:v>Traiter d'abord les défauts fonctionnels sur ST50, puis ST60. Surveiller séparément FPY et rendement final pour ne pas masquer la retouche.</x:v>
      </x:c>
      <x:c r="C32" s="45"/>
      <x:c r="D32" s="45"/>
      <x:c r="E32" s="45"/>
      <x:c r="F32" s="45"/>
      <x:c r="G32" s="45"/>
      <x:c r="H32" s="45"/>
      <x:c r="I32" s="45"/>
      <x:c r="J32" s="45"/>
      <x:c r="K32" s="45"/>
      <x:c r="L32" s="50"/>
    </x:row>
    <x:row r="33" ht="38" customHeight="1">
      <x:c r="A33" s="51" t="str">
        <x:v>Contrôle</x:v>
      </x:c>
      <x:c r="B33" s="52" t="str">
        <x:v>Toutes les unités sont classées sans ambiguïté : bon au premier passage, bon après retouche ou rebut final. Réconciliation ST50/J09 validée.</x:v>
      </x:c>
      <x:c r="C33" s="52"/>
      <x:c r="D33" s="52"/>
      <x:c r="E33" s="52"/>
      <x:c r="F33" s="52"/>
      <x:c r="G33" s="52"/>
      <x:c r="H33" s="52"/>
      <x:c r="I33" s="52"/>
      <x:c r="J33" s="52"/>
      <x:c r="K33" s="52"/>
      <x:c r="L33" s="53"/>
    </x:row>
    <x:row r="34" ht="22" customHeight="1"/>
  </x:sheetData>
  <x:mergeCells>
    <x:mergeCell ref="B28:L28"/>
    <x:mergeCell ref="B29:L29"/>
    <x:mergeCell ref="B30:L30"/>
    <x:mergeCell ref="B31:L31"/>
    <x:mergeCell ref="B32:L32"/>
    <x:mergeCell ref="B33:L33"/>
  </x:mergeCells>
  <x:pageMargins left="0.7" right="0.7" top="0.75" bottom="0.75" header="0.3" footer="0.3"/>
  <x:drawing xmlns:r="http://schemas.openxmlformats.org/officeDocument/2006/relationships" r:id="R73dfb3fe159249b9"/>
</x:worksheet>
</file>

<file path=xl/worksheets/sheet2.xml><?xml version="1.0" encoding="utf-8"?>
<x:worksheet xmlns:x="http://schemas.openxmlformats.org/spreadsheetml/2006/main">
  <x:sheetPr>
    <x:tabColor rgb="FF0B63C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20" hidden="0" customWidth="1"/>
    <x:col min="13" max="13" width="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2" customHeight="1"/>
    <x:row r="2" ht="22" customHeight="1">
      <x:c r="A2" s="1" t="str">
        <x:v>EMA-120 - Qualité par poste et par variante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3" t="str">
        <x:v>Le FPY exclut les produits acceptés après retouche. Le rendement final les réintègre.</x:v>
      </x:c>
    </x:row>
    <x:row r="5" ht="22" customHeight="1"/>
    <x:row r="6" ht="48" customHeight="1">
      <x:c r="A6" s="9" t="str">
        <x:v>Poste</x:v>
      </x:c>
      <x:c r="B6" s="9" t="str">
        <x:v>Total 1er passage</x:v>
      </x:c>
      <x:c r="C6" s="9" t="str">
        <x:v>Bons 1er passage</x:v>
      </x:c>
      <x:c r="D6" s="9" t="str">
        <x:v>Échecs</x:v>
      </x:c>
      <x:c r="E6" s="9" t="str">
        <x:v>Bons après retouche</x:v>
      </x:c>
      <x:c r="F6" s="9" t="str">
        <x:v>Rebuts</x:v>
      </x:c>
      <x:c r="G6" s="9" t="str">
        <x:v>FPY</x:v>
      </x:c>
      <x:c r="H6" s="9" t="str">
        <x:v>Taux retouche</x:v>
      </x:c>
      <x:c r="I6" s="9" t="str">
        <x:v>Taux rebut</x:v>
      </x:c>
      <x:c r="J6" s="9" t="str">
        <x:v>Rendement final</x:v>
      </x:c>
      <x:c r="K6" s="9" t="str">
        <x:v>Temps retouche (min)</x:v>
      </x:c>
      <x:c r="L6" s="9" t="str">
        <x:v>Retouche moyenne (min)</x:v>
      </x:c>
    </x:row>
    <x:row r="7" ht="22" customHeight="1">
      <x:c r="A7" s="18" t="str">
        <x:f>Sources!A20</x:f>
        <x:v>ST10</x:v>
      </x:c>
      <x:c r="B7" s="20" t="n">
        <x:f>Sources!B20</x:f>
        <x:v>4200</x:v>
      </x:c>
      <x:c r="C7" s="20" t="n">
        <x:f>Sources!C20</x:f>
        <x:v>4200</x:v>
      </x:c>
      <x:c r="D7" s="20" t="n">
        <x:f>Sources!D20</x:f>
        <x:v>0</x:v>
      </x:c>
      <x:c r="E7" s="20" t="n">
        <x:f>Sources!F20</x:f>
        <x:v>0</x:v>
      </x:c>
      <x:c r="F7" s="20" t="n">
        <x:f>Sources!G20</x:f>
        <x:v>0</x:v>
      </x:c>
      <x:c r="G7" s="22" t="n">
        <x:f>C7/B7</x:f>
        <x:v>1</x:v>
      </x:c>
      <x:c r="H7" s="22" t="n">
        <x:f>D7/B7</x:f>
        <x:v>0</x:v>
      </x:c>
      <x:c r="I7" s="22" t="n">
        <x:f>F7/B7</x:f>
        <x:v>0</x:v>
      </x:c>
      <x:c r="J7" s="22" t="n">
        <x:f>(C7+E7)/B7</x:f>
        <x:v>1</x:v>
      </x:c>
      <x:c r="K7" s="24" t="n">
        <x:f>Sources!M20/60</x:f>
        <x:v>0</x:v>
      </x:c>
      <x:c r="L7" s="24" t="n">
        <x:f>Sources!N20/60</x:f>
        <x:v>0</x:v>
      </x:c>
    </x:row>
    <x:row r="8" ht="22" customHeight="1">
      <x:c r="A8" s="19" t="str">
        <x:f>Sources!A21</x:f>
        <x:v>ST20</x:v>
      </x:c>
      <x:c r="B8" s="21" t="n">
        <x:f>Sources!B21</x:f>
        <x:v>4198</x:v>
      </x:c>
      <x:c r="C8" s="21" t="n">
        <x:f>Sources!C21</x:f>
        <x:v>4198</x:v>
      </x:c>
      <x:c r="D8" s="21" t="n">
        <x:f>Sources!D21</x:f>
        <x:v>0</x:v>
      </x:c>
      <x:c r="E8" s="21" t="n">
        <x:f>Sources!F21</x:f>
        <x:v>0</x:v>
      </x:c>
      <x:c r="F8" s="21" t="n">
        <x:f>Sources!G21</x:f>
        <x:v>0</x:v>
      </x:c>
      <x:c r="G8" s="23" t="n">
        <x:f>C8/B8</x:f>
        <x:v>1</x:v>
      </x:c>
      <x:c r="H8" s="23" t="n">
        <x:f>D8/B8</x:f>
        <x:v>0</x:v>
      </x:c>
      <x:c r="I8" s="23" t="n">
        <x:f>F8/B8</x:f>
        <x:v>0</x:v>
      </x:c>
      <x:c r="J8" s="23" t="n">
        <x:f>(C8+E8)/B8</x:f>
        <x:v>1</x:v>
      </x:c>
      <x:c r="K8" s="25" t="n">
        <x:f>Sources!M21/60</x:f>
        <x:v>0</x:v>
      </x:c>
      <x:c r="L8" s="25" t="n">
        <x:f>Sources!N21/60</x:f>
        <x:v>0</x:v>
      </x:c>
    </x:row>
    <x:row r="9" ht="22" customHeight="1">
      <x:c r="A9" s="19" t="str">
        <x:f>Sources!A22</x:f>
        <x:v>ST30</x:v>
      </x:c>
      <x:c r="B9" s="21" t="n">
        <x:f>Sources!B22</x:f>
        <x:v>3826</x:v>
      </x:c>
      <x:c r="C9" s="21" t="n">
        <x:f>Sources!C22</x:f>
        <x:v>3826</x:v>
      </x:c>
      <x:c r="D9" s="21" t="n">
        <x:f>Sources!D22</x:f>
        <x:v>0</x:v>
      </x:c>
      <x:c r="E9" s="21" t="n">
        <x:f>Sources!F22</x:f>
        <x:v>0</x:v>
      </x:c>
      <x:c r="F9" s="21" t="n">
        <x:f>Sources!G22</x:f>
        <x:v>0</x:v>
      </x:c>
      <x:c r="G9" s="23" t="n">
        <x:f>C9/B9</x:f>
        <x:v>1</x:v>
      </x:c>
      <x:c r="H9" s="23" t="n">
        <x:f>D9/B9</x:f>
        <x:v>0</x:v>
      </x:c>
      <x:c r="I9" s="23" t="n">
        <x:f>F9/B9</x:f>
        <x:v>0</x:v>
      </x:c>
      <x:c r="J9" s="23" t="n">
        <x:f>(C9+E9)/B9</x:f>
        <x:v>1</x:v>
      </x:c>
      <x:c r="K9" s="25" t="n">
        <x:f>Sources!M22/60</x:f>
        <x:v>0</x:v>
      </x:c>
      <x:c r="L9" s="25" t="n">
        <x:f>Sources!N22/60</x:f>
        <x:v>0</x:v>
      </x:c>
    </x:row>
    <x:row r="10" ht="22" customHeight="1">
      <x:c r="A10" s="19" t="str">
        <x:f>Sources!A23</x:f>
        <x:v>ST40</x:v>
      </x:c>
      <x:c r="B10" s="21" t="n">
        <x:f>Sources!B23</x:f>
        <x:v>3821</x:v>
      </x:c>
      <x:c r="C10" s="21" t="n">
        <x:f>Sources!C23</x:f>
        <x:v>3797</x:v>
      </x:c>
      <x:c r="D10" s="21" t="n">
        <x:f>Sources!D23</x:f>
        <x:v>24</x:v>
      </x:c>
      <x:c r="E10" s="21" t="n">
        <x:f>Sources!F23</x:f>
        <x:v>23</x:v>
      </x:c>
      <x:c r="F10" s="21" t="n">
        <x:f>Sources!G23</x:f>
        <x:v>1</x:v>
      </x:c>
      <x:c r="G10" s="23" t="n">
        <x:f>C10/B10</x:f>
        <x:v>0.9937189217482334</x:v>
      </x:c>
      <x:c r="H10" s="23" t="n">
        <x:f>D10/B10</x:f>
        <x:v>0.006281078251766554</x:v>
      </x:c>
      <x:c r="I10" s="23" t="n">
        <x:f>F10/B10</x:f>
        <x:v>0.00026171159382360636</x:v>
      </x:c>
      <x:c r="J10" s="23" t="n">
        <x:f>(C10+E10)/B10</x:f>
        <x:v>0.9997382884061764</x:v>
      </x:c>
      <x:c r="K10" s="25" t="n">
        <x:f>Sources!M23/60</x:f>
        <x:v>203.25</x:v>
      </x:c>
      <x:c r="L10" s="25" t="n">
        <x:f>Sources!N23/60</x:f>
        <x:v>8.46875</x:v>
      </x:c>
    </x:row>
    <x:row r="11" ht="22" customHeight="1">
      <x:c r="A11" s="33" t="str">
        <x:f>Sources!A24</x:f>
        <x:v>ST50</x:v>
      </x:c>
      <x:c r="B11" s="34" t="n">
        <x:f>Sources!B24</x:f>
        <x:v>3156</x:v>
      </x:c>
      <x:c r="C11" s="34" t="n">
        <x:f>Sources!C24</x:f>
        <x:v>3088</x:v>
      </x:c>
      <x:c r="D11" s="34" t="n">
        <x:f>Sources!D24</x:f>
        <x:v>68</x:v>
      </x:c>
      <x:c r="E11" s="34" t="n">
        <x:f>Sources!F24</x:f>
        <x:v>65</x:v>
      </x:c>
      <x:c r="F11" s="34" t="n">
        <x:f>Sources!G24</x:f>
        <x:v>3</x:v>
      </x:c>
      <x:c r="G11" s="35" t="n">
        <x:f>C11/B11</x:f>
        <x:v>0.9784537389100126</x:v>
      </x:c>
      <x:c r="H11" s="35" t="n">
        <x:f>D11/B11</x:f>
        <x:v>0.021546261089987327</x:v>
      </x:c>
      <x:c r="I11" s="35" t="n">
        <x:f>F11/B11</x:f>
        <x:v>0.0009505703422053232</x:v>
      </x:c>
      <x:c r="J11" s="35" t="n">
        <x:f>(C11+E11)/B11</x:f>
        <x:v>0.9990494296577946</x:v>
      </x:c>
      <x:c r="K11" s="36" t="n">
        <x:f>Sources!M24/60</x:f>
        <x:v>659</x:v>
      </x:c>
      <x:c r="L11" s="36" t="n">
        <x:f>Sources!N24/60</x:f>
        <x:v>9.691176470588236</x:v>
      </x:c>
    </x:row>
    <x:row r="12" ht="22" customHeight="1">
      <x:c r="A12" s="19" t="str">
        <x:f>Sources!A25</x:f>
        <x:v>ST60</x:v>
      </x:c>
      <x:c r="B12" s="21" t="n">
        <x:f>Sources!B25</x:f>
        <x:v>3148</x:v>
      </x:c>
      <x:c r="C12" s="21" t="n">
        <x:f>Sources!C25</x:f>
        <x:v>3108</x:v>
      </x:c>
      <x:c r="D12" s="21" t="n">
        <x:f>Sources!D25</x:f>
        <x:v>40</x:v>
      </x:c>
      <x:c r="E12" s="21" t="n">
        <x:f>Sources!F25</x:f>
        <x:v>38</x:v>
      </x:c>
      <x:c r="F12" s="21" t="n">
        <x:f>Sources!G25</x:f>
        <x:v>2</x:v>
      </x:c>
      <x:c r="G12" s="23" t="n">
        <x:f>C12/B12</x:f>
        <x:v>0.9872935196950444</x:v>
      </x:c>
      <x:c r="H12" s="23" t="n">
        <x:f>D12/B12</x:f>
        <x:v>0.012706480304955527</x:v>
      </x:c>
      <x:c r="I12" s="23" t="n">
        <x:f>F12/B12</x:f>
        <x:v>0.0006353240152477764</x:v>
      </x:c>
      <x:c r="J12" s="23" t="n">
        <x:f>(C12+E12)/B12</x:f>
        <x:v>0.9993646759847522</x:v>
      </x:c>
      <x:c r="K12" s="25" t="n">
        <x:f>Sources!M25/60</x:f>
        <x:v>325.25</x:v>
      </x:c>
      <x:c r="L12" s="25" t="n">
        <x:f>Sources!N25/60</x:f>
        <x:v>8.13125</x:v>
      </x:c>
    </x:row>
    <x:row r="13" ht="22" customHeight="1">
      <x:c r="A13" s="19" t="str">
        <x:f>Sources!A26</x:f>
        <x:v>ST70</x:v>
      </x:c>
      <x:c r="B13" s="21" t="n">
        <x:f>Sources!B26</x:f>
        <x:v>3144</x:v>
      </x:c>
      <x:c r="C13" s="21" t="n">
        <x:f>Sources!C26</x:f>
        <x:v>3144</x:v>
      </x:c>
      <x:c r="D13" s="21" t="n">
        <x:f>Sources!D26</x:f>
        <x:v>0</x:v>
      </x:c>
      <x:c r="E13" s="21" t="n">
        <x:f>Sources!F26</x:f>
        <x:v>0</x:v>
      </x:c>
      <x:c r="F13" s="21" t="n">
        <x:f>Sources!G26</x:f>
        <x:v>0</x:v>
      </x:c>
      <x:c r="G13" s="23" t="n">
        <x:f>C13/B13</x:f>
        <x:v>1</x:v>
      </x:c>
      <x:c r="H13" s="23" t="n">
        <x:f>D13/B13</x:f>
        <x:v>0</x:v>
      </x:c>
      <x:c r="I13" s="23" t="n">
        <x:f>F13/B13</x:f>
        <x:v>0</x:v>
      </x:c>
      <x:c r="J13" s="23" t="n">
        <x:f>(C13+E13)/B13</x:f>
        <x:v>1</x:v>
      </x:c>
      <x:c r="K13" s="25" t="n">
        <x:f>Sources!M26/60</x:f>
        <x:v>0</x:v>
      </x:c>
      <x:c r="L13" s="25" t="n">
        <x:f>Sources!N26/60</x:f>
        <x:v>0</x:v>
      </x:c>
    </x:row>
    <x:row r="14" ht="22" customHeight="1"/>
    <x:row r="15" ht="22" customHeight="1"/>
    <x:row r="16" ht="22" customHeight="1"/>
    <x:row r="17" ht="22" customHeight="1"/>
    <x:row r="18" ht="48" customHeight="1">
      <x:c r="A18" s="9" t="str">
        <x:v>Variante</x:v>
      </x:c>
      <x:c r="B18" s="9" t="str">
        <x:v>Total 1er passage</x:v>
      </x:c>
      <x:c r="C18" s="9" t="str">
        <x:v>Bons 1er passage</x:v>
      </x:c>
      <x:c r="D18" s="9" t="str">
        <x:v>Échecs</x:v>
      </x:c>
      <x:c r="E18" s="9" t="str">
        <x:v>Bons après retouche</x:v>
      </x:c>
      <x:c r="F18" s="9" t="str">
        <x:v>Rebuts</x:v>
      </x:c>
      <x:c r="G18" s="9" t="str">
        <x:v>FPY</x:v>
      </x:c>
      <x:c r="H18" s="9" t="str">
        <x:v>Taux retouche</x:v>
      </x:c>
      <x:c r="I18" s="9" t="str">
        <x:v>Taux rebut</x:v>
      </x:c>
      <x:c r="J18" s="9" t="str">
        <x:v>Rendement final</x:v>
      </x:c>
      <x:c r="K18" s="9" t="str">
        <x:v>Temps retouche (min)</x:v>
      </x:c>
      <x:c r="L18" s="9" t="str">
        <x:v>Retouche moyenne (min)</x:v>
      </x:c>
    </x:row>
    <x:row r="19" ht="22" customHeight="1">
      <x:c r="A19" s="18" t="str">
        <x:f>Sources!A32</x:f>
        <x:v>EMA-120A</x:v>
      </x:c>
      <x:c r="B19" s="20" t="n">
        <x:f>Sources!B32</x:f>
        <x:v>12796</x:v>
      </x:c>
      <x:c r="C19" s="20" t="n">
        <x:f>Sources!C32</x:f>
        <x:v>12752</x:v>
      </x:c>
      <x:c r="D19" s="20" t="n">
        <x:f>Sources!D32</x:f>
        <x:v>44</x:v>
      </x:c>
      <x:c r="E19" s="20" t="n">
        <x:f>Sources!F32</x:f>
        <x:v>41</x:v>
      </x:c>
      <x:c r="F19" s="20" t="n">
        <x:f>Sources!G32</x:f>
        <x:v>3</x:v>
      </x:c>
      <x:c r="G19" s="22" t="n">
        <x:f>C19/B19</x:f>
        <x:v>0.9965614254454517</x:v>
      </x:c>
      <x:c r="H19" s="22" t="n">
        <x:f>D19/B19</x:f>
        <x:v>0.0034385745545482964</x:v>
      </x:c>
      <x:c r="I19" s="22" t="n">
        <x:f>F19/B19</x:f>
        <x:v>0.00023444826508283839</x:v>
      </x:c>
      <x:c r="J19" s="22" t="n">
        <x:f>(C19+E19)/B19</x:f>
        <x:v>0.9997655517349172</x:v>
      </x:c>
      <x:c r="K19" s="24" t="n">
        <x:f>Sources!M32/60</x:f>
        <x:v>388</x:v>
      </x:c>
      <x:c r="L19" s="24" t="n">
        <x:f>Sources!N32/60</x:f>
        <x:v>8.818181818181818</x:v>
      </x:c>
    </x:row>
    <x:row r="20" ht="22" customHeight="1">
      <x:c r="A20" s="19" t="str">
        <x:f>Sources!A33</x:f>
        <x:v>EMA-120B</x:v>
      </x:c>
      <x:c r="B20" s="21" t="n">
        <x:f>Sources!B33</x:f>
        <x:v>7622</x:v>
      </x:c>
      <x:c r="C20" s="21" t="n">
        <x:f>Sources!C33</x:f>
        <x:v>7574</x:v>
      </x:c>
      <x:c r="D20" s="21" t="n">
        <x:f>Sources!D33</x:f>
        <x:v>48</x:v>
      </x:c>
      <x:c r="E20" s="21" t="n">
        <x:f>Sources!F33</x:f>
        <x:v>47</x:v>
      </x:c>
      <x:c r="F20" s="21" t="n">
        <x:f>Sources!G33</x:f>
        <x:v>1</x:v>
      </x:c>
      <x:c r="G20" s="23" t="n">
        <x:f>C20/B20</x:f>
        <x:v>0.993702440304382</x:v>
      </x:c>
      <x:c r="H20" s="23" t="n">
        <x:f>D20/B20</x:f>
        <x:v>0.006297559695617948</x:v>
      </x:c>
      <x:c r="I20" s="23" t="n">
        <x:f>F20/B20</x:f>
        <x:v>0.0001311991603253739</x:v>
      </x:c>
      <x:c r="J20" s="23" t="n">
        <x:f>(C20+E20)/B20</x:f>
        <x:v>0.9998688008396747</x:v>
      </x:c>
      <x:c r="K20" s="25" t="n">
        <x:f>Sources!M33/60</x:f>
        <x:v>431.5</x:v>
      </x:c>
      <x:c r="L20" s="25" t="n">
        <x:f>Sources!N33/60</x:f>
        <x:v>8.989583333333334</x:v>
      </x:c>
    </x:row>
    <x:row r="21" ht="22" customHeight="1">
      <x:c r="A21" s="17" t="str">
        <x:f>Sources!A34</x:f>
        <x:v>EMA-120C</x:v>
      </x:c>
      <x:c r="B21" s="16" t="n">
        <x:f>Sources!B34</x:f>
        <x:v>5075</x:v>
      </x:c>
      <x:c r="C21" s="16" t="n">
        <x:f>Sources!C34</x:f>
        <x:v>5035</x:v>
      </x:c>
      <x:c r="D21" s="16" t="n">
        <x:f>Sources!D34</x:f>
        <x:v>40</x:v>
      </x:c>
      <x:c r="E21" s="16" t="n">
        <x:f>Sources!F34</x:f>
        <x:v>38</x:v>
      </x:c>
      <x:c r="F21" s="16" t="n">
        <x:f>Sources!G34</x:f>
        <x:v>2</x:v>
      </x:c>
      <x:c r="G21" s="37" t="n">
        <x:f>C21/B21</x:f>
        <x:v>0.9921182266009853</x:v>
      </x:c>
      <x:c r="H21" s="37" t="n">
        <x:f>D21/B21</x:f>
        <x:v>0.007881773399014778</x:v>
      </x:c>
      <x:c r="I21" s="37" t="n">
        <x:f>F21/B21</x:f>
        <x:v>0.00039408866995073894</x:v>
      </x:c>
      <x:c r="J21" s="37" t="n">
        <x:f>(C21+E21)/B21</x:f>
        <x:v>0.9996059113300493</x:v>
      </x:c>
      <x:c r="K21" s="38" t="n">
        <x:f>Sources!M34/60</x:f>
        <x:v>368</x:v>
      </x:c>
      <x:c r="L21" s="38" t="n">
        <x:f>Sources!N34/60</x:f>
        <x:v>9.2</x:v>
      </x:c>
    </x:row>
    <x:row r="22" ht="22" customHeight="1"/>
    <x:row r="23" ht="22" customHeight="1"/>
    <x:row r="24" ht="22" customHeight="1"/>
    <x:row r="25" ht="38" customHeight="1">
      <x:c r="A25" s="46" t="str">
        <x:v>Poste prioritaire</x:v>
      </x:c>
      <x:c r="B25" s="47" t="str">
        <x:v>ST50 a le FPY le plus faible : 97,85 %. Il concentre 68 échecs initiaux, 65 récupérations après retouche et 3 rebuts.</x:v>
      </x:c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8"/>
    </x:row>
    <x:row r="26" ht="38" customHeight="1">
      <x:c r="A26" s="49" t="str">
        <x:v>Deuxième signal</x:v>
      </x:c>
      <x:c r="B26" s="45" t="str">
        <x:v>ST60 affiche 98,73 % de FPY et 40 retouches. ST40 reste plus proche du niveau global à 99,37 %.</x:v>
      </x:c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50"/>
    </x:row>
    <x:row r="27" ht="38" customHeight="1">
      <x:c r="A27" s="49" t="str">
        <x:v>Variante</x:v>
      </x:c>
      <x:c r="B27" s="45" t="str">
        <x:v>EMA-120C a le FPY le plus faible : 99,21 %. L'écart reste faible, mais la variante doit être croisée avec ST50 et ST60.</x:v>
      </x:c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50"/>
    </x:row>
    <x:row r="28" ht="38" customHeight="1">
      <x:c r="A28" s="49" t="str">
        <x:v>Retouche</x:v>
      </x:c>
      <x:c r="B28" s="45" t="str">
        <x:v>126 unités sur 132 sont récupérées après retouche. Elles sont bonnes au final, mais ne deviennent jamais des bonnes du premier coup.</x:v>
      </x:c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50"/>
    </x:row>
    <x:row r="29" ht="38" customHeight="1">
      <x:c r="A29" s="51" t="str">
        <x:v>Lecture</x:v>
      </x:c>
      <x:c r="B29" s="52" t="str">
        <x:v>Le rendement final de 99,976 % masque une charge de retouche de 1 187,5 minutes. Le FPY est l'indicateur pertinent pour voir cette perte cachée.</x:v>
      </x:c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3"/>
    </x:row>
    <x:row r="30" ht="22" customHeight="1"/>
  </x:sheetData>
  <x:mergeCells>
    <x:mergeCell ref="B25:R25"/>
    <x:mergeCell ref="B26:R26"/>
    <x:mergeCell ref="B27:R27"/>
    <x:mergeCell ref="B28:R28"/>
    <x:mergeCell ref="B29:R29"/>
  </x:mergeCells>
  <x:pageMargins left="0.7" right="0.7" top="0.75" bottom="0.75" header="0.3" footer="0.3"/>
  <x:drawing xmlns:r="http://schemas.openxmlformats.org/officeDocument/2006/relationships" r:id="R0ba08eeff53e4e99"/>
</x:worksheet>
</file>

<file path=xl/worksheets/sheet3.xml><?xml version="1.0" encoding="utf-8"?>
<x:worksheet xmlns:x="http://schemas.openxmlformats.org/spreadsheetml/2006/main">
  <x:sheetPr>
    <x:tabColor rgb="FFE67E2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20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 ht="22" customHeight="1"/>
    <x:row r="2" ht="22" customHeight="1">
      <x:c r="A2" s="1" t="str">
        <x:v>EMA-120 - Pareto des défauts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3" t="str">
        <x:v>Comptage des défauts au premier passage uniquement : aucun double comptage des défauts persistants après retouche.</x:v>
      </x:c>
    </x:row>
    <x:row r="5" ht="22" customHeight="1"/>
    <x:row r="6" ht="44" customHeight="1">
      <x:c r="A6" s="9" t="str">
        <x:v>Rang</x:v>
      </x:c>
      <x:c r="B6" s="9" t="str">
        <x:v>Code</x:v>
      </x:c>
      <x:c r="C6" s="9" t="str">
        <x:v>Catégorie</x:v>
      </x:c>
      <x:c r="D6" s="9" t="str">
        <x:v>Défaut</x:v>
      </x:c>
      <x:c r="E6" s="9" t="str">
        <x:v>Occurrences</x:v>
      </x:c>
      <x:c r="F6" s="9" t="str">
        <x:v>Part</x:v>
      </x:c>
      <x:c r="G6" s="9" t="str">
        <x:v>Cumul</x:v>
      </x:c>
      <x:c r="H6" s="9" t="str">
        <x:v>Temps retouche (min)</x:v>
      </x:c>
      <x:c r="I6" s="9" t="str">
        <x:v>Rebuts</x:v>
      </x:c>
    </x:row>
    <x:row r="7" ht="22" customHeight="1">
      <x:c r="A7" s="54" t="n">
        <x:f>ROW()-6</x:f>
        <x:v>1</x:v>
      </x:c>
      <x:c r="B7" s="54" t="str">
        <x:f>Sources!A40</x:f>
        <x:v>QL-C06</x:v>
      </x:c>
      <x:c r="C7" s="54" t="str">
        <x:f>Sources!B40</x:f>
        <x:v>FUNCTIONAL</x:v>
      </x:c>
      <x:c r="D7" s="54" t="str">
        <x:f>Sources!C40</x:f>
        <x:v>Réponse fonctionnelle hors spécification</x:v>
      </x:c>
      <x:c r="E7" s="55" t="n">
        <x:f>Sources!D40</x:f>
        <x:v>31</x:v>
      </x:c>
      <x:c r="F7" s="56" t="n">
        <x:f>E7/SUM($E$7:$E$16)</x:f>
        <x:v>0.23484848484848486</x:v>
      </x:c>
      <x:c r="G7" s="56" t="n">
        <x:f>SUM($F$7:F7)</x:f>
        <x:v>0.23484848484848486</x:v>
      </x:c>
      <x:c r="H7" s="58" t="n">
        <x:f>Sources!G40/60</x:f>
        <x:v>324</x:v>
      </x:c>
      <x:c r="I7" s="55" t="n">
        <x:f>Sources!I40</x:f>
        <x:v>2</x:v>
      </x:c>
    </x:row>
    <x:row r="8" ht="22" customHeight="1">
      <x:c r="A8" s="17" t="n">
        <x:f>ROW()-6</x:f>
        <x:v>2</x:v>
      </x:c>
      <x:c r="B8" s="17" t="str">
        <x:f>Sources!A41</x:f>
        <x:v>QL-C02</x:v>
      </x:c>
      <x:c r="C8" s="17" t="str">
        <x:f>Sources!B41</x:f>
        <x:v>ASSEMBLY</x:v>
      </x:c>
      <x:c r="D8" s="17" t="str">
        <x:f>Sources!C41</x:f>
        <x:v>Désalignement d'assemblage</x:v>
      </x:c>
      <x:c r="E8" s="16" t="n">
        <x:f>Sources!D41</x:f>
        <x:v>18</x:v>
      </x:c>
      <x:c r="F8" s="57" t="n">
        <x:f>E8/SUM($E$7:$E$16)</x:f>
        <x:v>0.13636363636363635</x:v>
      </x:c>
      <x:c r="G8" s="57" t="n">
        <x:f>SUM($F$7:F8)</x:f>
        <x:v>0.3712121212121212</x:v>
      </x:c>
      <x:c r="H8" s="38" t="n">
        <x:f>Sources!G41/60</x:f>
        <x:v>164.75</x:v>
      </x:c>
      <x:c r="I8" s="16" t="n">
        <x:f>Sources!I41</x:f>
        <x:v>0</x:v>
      </x:c>
    </x:row>
    <x:row r="9" ht="22" customHeight="1">
      <x:c r="A9" s="17" t="n">
        <x:f>ROW()-6</x:f>
        <x:v>3</x:v>
      </x:c>
      <x:c r="B9" s="17" t="str">
        <x:f>Sources!A42</x:f>
        <x:v>QL-C07</x:v>
      </x:c>
      <x:c r="C9" s="17" t="str">
        <x:f>Sources!B42</x:f>
        <x:v>FUNCTIONAL</x:v>
      </x:c>
      <x:c r="D9" s="17" t="str">
        <x:f>Sources!C42</x:f>
        <x:v>Signal capteur instable</x:v>
      </x:c>
      <x:c r="E9" s="16" t="n">
        <x:f>Sources!D42</x:f>
        <x:v>17</x:v>
      </x:c>
      <x:c r="F9" s="57" t="n">
        <x:f>E9/SUM($E$7:$E$16)</x:f>
        <x:v>0.12878787878787878</x:v>
      </x:c>
      <x:c r="G9" s="57" t="n">
        <x:f>SUM($F$7:F9)</x:f>
        <x:v>0.5</x:v>
      </x:c>
      <x:c r="H9" s="38" t="n">
        <x:f>Sources!G42/60</x:f>
        <x:v>128.25</x:v>
      </x:c>
      <x:c r="I9" s="16" t="n">
        <x:f>Sources!I42</x:f>
        <x:v>1</x:v>
      </x:c>
    </x:row>
    <x:row r="10" ht="22" customHeight="1">
      <x:c r="A10" s="17" t="n">
        <x:f>ROW()-6</x:f>
        <x:v>4</x:v>
      </x:c>
      <x:c r="B10" s="17" t="str">
        <x:f>Sources!A43</x:f>
        <x:v>QL-C04</x:v>
      </x:c>
      <x:c r="C10" s="17" t="str">
        <x:f>Sources!B43</x:f>
        <x:v>TORQUE</x:v>
      </x:c>
      <x:c r="D10" s="17" t="str">
        <x:f>Sources!C43</x:f>
        <x:v>Couple de serrage insuffisant</x:v>
      </x:c>
      <x:c r="E10" s="16" t="n">
        <x:f>Sources!D43</x:f>
        <x:v>16</x:v>
      </x:c>
      <x:c r="F10" s="57" t="n">
        <x:f>E10/SUM($E$7:$E$16)</x:f>
        <x:v>0.12121212121212122</x:v>
      </x:c>
      <x:c r="G10" s="57" t="n">
        <x:f>SUM($F$7:F10)</x:f>
        <x:v>0.6212121212121212</x:v>
      </x:c>
      <x:c r="H10" s="38" t="n">
        <x:f>Sources!G43/60</x:f>
        <x:v>96.5</x:v>
      </x:c>
      <x:c r="I10" s="16" t="n">
        <x:f>Sources!I43</x:f>
        <x:v>1</x:v>
      </x:c>
    </x:row>
    <x:row r="11" ht="22" customHeight="1">
      <x:c r="A11" s="17" t="n">
        <x:f>ROW()-6</x:f>
        <x:v>5</x:v>
      </x:c>
      <x:c r="B11" s="17" t="str">
        <x:f>Sources!A44</x:f>
        <x:v>QL-C08</x:v>
      </x:c>
      <x:c r="C11" s="17" t="str">
        <x:f>Sources!B44</x:f>
        <x:v>FUNCTIONAL</x:v>
      </x:c>
      <x:c r="D11" s="17" t="str">
        <x:f>Sources!C44</x:f>
        <x:v>Continuité électrique non conforme</x:v>
      </x:c>
      <x:c r="E11" s="16" t="n">
        <x:f>Sources!D44</x:f>
        <x:v>15</x:v>
      </x:c>
      <x:c r="F11" s="57" t="n">
        <x:f>E11/SUM($E$7:$E$16)</x:f>
        <x:v>0.11363636363636363</x:v>
      </x:c>
      <x:c r="G11" s="57" t="n">
        <x:f>SUM($F$7:F11)</x:f>
        <x:v>0.7348484848484849</x:v>
      </x:c>
      <x:c r="H11" s="38" t="n">
        <x:f>Sources!G44/60</x:f>
        <x:v>131.5</x:v>
      </x:c>
      <x:c r="I11" s="16" t="n">
        <x:f>Sources!I44</x:f>
        <x:v>0</x:v>
      </x:c>
    </x:row>
    <x:row r="12" ht="22" customHeight="1">
      <x:c r="A12" s="17" t="n">
        <x:f>ROW()-6</x:f>
        <x:v>6</x:v>
      </x:c>
      <x:c r="B12" s="17" t="str">
        <x:f>Sources!A45</x:f>
        <x:v>QL-C12</x:v>
      </x:c>
      <x:c r="C12" s="17" t="str">
        <x:f>Sources!B45</x:f>
        <x:v>DIMENSIONAL</x:v>
      </x:c>
      <x:c r="D12" s="17" t="str">
        <x:f>Sources!C45</x:f>
        <x:v>Interface dimensionnelle non conforme</x:v>
      </x:c>
      <x:c r="E12" s="16" t="n">
        <x:f>Sources!D45</x:f>
        <x:v>11</x:v>
      </x:c>
      <x:c r="F12" s="57" t="n">
        <x:f>E12/SUM($E$7:$E$16)</x:f>
        <x:v>0.08333333333333333</x:v>
      </x:c>
      <x:c r="G12" s="57" t="n">
        <x:f>SUM($F$7:F12)</x:f>
        <x:v>0.8181818181818182</x:v>
      </x:c>
      <x:c r="H12" s="38" t="n">
        <x:f>Sources!G45/60</x:f>
        <x:v>128</x:v>
      </x:c>
      <x:c r="I12" s="16" t="n">
        <x:f>Sources!I45</x:f>
        <x:v>0</x:v>
      </x:c>
    </x:row>
    <x:row r="13" ht="22" customHeight="1">
      <x:c r="A13" s="19" t="n">
        <x:f>ROW()-6</x:f>
        <x:v>7</x:v>
      </x:c>
      <x:c r="B13" s="19" t="str">
        <x:f>Sources!A46</x:f>
        <x:v>QL-C03</x:v>
      </x:c>
      <x:c r="C13" s="19" t="str">
        <x:f>Sources!B46</x:f>
        <x:v>DIMENSIONAL</x:v>
      </x:c>
      <x:c r="D13" s="19" t="str">
        <x:f>Sources!C46</x:f>
        <x:v>Cote arbre ou roulement hors tolérance</x:v>
      </x:c>
      <x:c r="E13" s="21" t="n">
        <x:f>Sources!D46</x:f>
        <x:v>10</x:v>
      </x:c>
      <x:c r="F13" s="27" t="n">
        <x:f>E13/SUM($E$7:$E$16)</x:f>
        <x:v>0.07575757575757576</x:v>
      </x:c>
      <x:c r="G13" s="27" t="n">
        <x:f>SUM($F$7:F13)</x:f>
        <x:v>0.893939393939394</x:v>
      </x:c>
      <x:c r="H13" s="25" t="n">
        <x:f>Sources!G46/60</x:f>
        <x:v>145.75</x:v>
      </x:c>
      <x:c r="I13" s="21" t="n">
        <x:f>Sources!I46</x:f>
        <x:v>1</x:v>
      </x:c>
    </x:row>
    <x:row r="14" ht="22" customHeight="1">
      <x:c r="A14" s="19" t="n">
        <x:f>ROW()-6</x:f>
        <x:v>8</x:v>
      </x:c>
      <x:c r="B14" s="19" t="str">
        <x:f>Sources!A47</x:f>
        <x:v>QL-C11</x:v>
      </x:c>
      <x:c r="C14" s="19" t="str">
        <x:f>Sources!B47</x:f>
        <x:v>ASSEMBLY</x:v>
      </x:c>
      <x:c r="D14" s="19" t="str">
        <x:f>Sources!C47</x:f>
        <x:v>Endommagement visuel ou de surface</x:v>
      </x:c>
      <x:c r="E14" s="21" t="n">
        <x:f>Sources!D47</x:f>
        <x:v>7</x:v>
      </x:c>
      <x:c r="F14" s="27" t="n">
        <x:f>E14/SUM($E$7:$E$16)</x:f>
        <x:v>0.05303030303030303</x:v>
      </x:c>
      <x:c r="G14" s="27" t="n">
        <x:f>SUM($F$7:F14)</x:f>
        <x:v>0.946969696969697</x:v>
      </x:c>
      <x:c r="H14" s="25" t="n">
        <x:f>Sources!G47/60</x:f>
        <x:v>31.5</x:v>
      </x:c>
      <x:c r="I14" s="21" t="n">
        <x:f>Sources!I47</x:f>
        <x:v>0</x:v>
      </x:c>
    </x:row>
    <x:row r="15" ht="22" customHeight="1">
      <x:c r="A15" s="19" t="n">
        <x:f>ROW()-6</x:f>
        <x:v>9</x:v>
      </x:c>
      <x:c r="B15" s="19" t="str">
        <x:f>Sources!A48</x:f>
        <x:v>QL-C05</x:v>
      </x:c>
      <x:c r="C15" s="19" t="str">
        <x:f>Sources!B48</x:f>
        <x:v>TORQUE</x:v>
      </x:c>
      <x:c r="D15" s="19" t="str">
        <x:f>Sources!C48</x:f>
        <x:v>Couple de serrage excessif</x:v>
      </x:c>
      <x:c r="E15" s="21" t="n">
        <x:f>Sources!D48</x:f>
        <x:v>5</x:v>
      </x:c>
      <x:c r="F15" s="27" t="n">
        <x:f>E15/SUM($E$7:$E$16)</x:f>
        <x:v>0.03787878787878788</x:v>
      </x:c>
      <x:c r="G15" s="27" t="n">
        <x:f>SUM($F$7:F15)</x:f>
        <x:v>0.9848484848484849</x:v>
      </x:c>
      <x:c r="H15" s="25" t="n">
        <x:f>Sources!G48/60</x:f>
        <x:v>23.5</x:v>
      </x:c>
      <x:c r="I15" s="21" t="n">
        <x:f>Sources!I48</x:f>
        <x:v>1</x:v>
      </x:c>
    </x:row>
    <x:row r="16" ht="22" customHeight="1">
      <x:c r="A16" s="19" t="n">
        <x:f>ROW()-6</x:f>
        <x:v>10</x:v>
      </x:c>
      <x:c r="B16" s="19" t="str">
        <x:f>Sources!A49</x:f>
        <x:v>QL-C01</x:v>
      </x:c>
      <x:c r="C16" s="19" t="str">
        <x:f>Sources!B49</x:f>
        <x:v>ASSEMBLY</x:v>
      </x:c>
      <x:c r="D16" s="19" t="str">
        <x:f>Sources!C49</x:f>
        <x:v>Composant manquant ou incorrect</x:v>
      </x:c>
      <x:c r="E16" s="21" t="n">
        <x:f>Sources!D49</x:f>
        <x:v>2</x:v>
      </x:c>
      <x:c r="F16" s="27" t="n">
        <x:f>E16/SUM($E$7:$E$16)</x:f>
        <x:v>0.015151515151515152</x:v>
      </x:c>
      <x:c r="G16" s="27" t="n">
        <x:f>SUM($F$7:F16)</x:f>
        <x:v>1</x:v>
      </x:c>
      <x:c r="H16" s="25" t="n">
        <x:f>Sources!G49/60</x:f>
        <x:v>13.75</x:v>
      </x:c>
      <x:c r="I16" s="21" t="n">
        <x:f>Sources!I49</x:f>
        <x:v>0</x:v>
      </x:c>
    </x:row>
    <x:row r="17" ht="22" customHeight="1"/>
    <x:row r="18" ht="22" customHeight="1"/>
    <x:row r="19" ht="22" customHeight="1"/>
    <x:row r="20" ht="38" customHeight="1">
      <x:c r="A20" s="46" t="str">
        <x:v>Défaut n°1</x:v>
      </x:c>
      <x:c r="B20" s="47" t="str">
        <x:v>QL-C06 - Réponse fonctionnelle hors spécification : 31 occurrences, soit 23,48 % des défauts initiaux.</x:v>
      </x:c>
      <x:c r="C20" s="47"/>
      <x:c r="D20" s="47"/>
      <x:c r="E20" s="47"/>
      <x:c r="F20" s="47"/>
      <x:c r="G20" s="47"/>
      <x:c r="H20" s="47"/>
      <x:c r="I20" s="48"/>
    </x:row>
    <x:row r="21" ht="38" customHeight="1">
      <x:c r="A21" s="49" t="str">
        <x:v>Seuil de 80 %</x:v>
      </x:c>
      <x:c r="B21" s="45" t="str">
        <x:v>Les 6 premiers codes cumulent 81,82 % des défauts. La priorité n'est donc pas limitée à une seule cause.</x:v>
      </x:c>
      <x:c r="C21" s="45"/>
      <x:c r="D21" s="45"/>
      <x:c r="E21" s="45"/>
      <x:c r="F21" s="45"/>
      <x:c r="G21" s="45"/>
      <x:c r="H21" s="45"/>
      <x:c r="I21" s="50"/>
    </x:row>
    <x:row r="22" ht="38" customHeight="1">
      <x:c r="A22" s="49" t="str">
        <x:v>Temps de retouche</x:v>
      </x:c>
      <x:c r="B22" s="45" t="str">
        <x:v>QL-C06 consomme aussi le plus de temps de retouche : 324,0 minutes, avec 2 rebuts finaux.</x:v>
      </x:c>
      <x:c r="C22" s="45"/>
      <x:c r="D22" s="45"/>
      <x:c r="E22" s="45"/>
      <x:c r="F22" s="45"/>
      <x:c r="G22" s="45"/>
      <x:c r="H22" s="45"/>
      <x:c r="I22" s="50"/>
    </x:row>
    <x:row r="23" ht="38" customHeight="1">
      <x:c r="A23" s="51" t="str">
        <x:v>Action</x:v>
      </x:c>
      <x:c r="B23" s="52" t="str">
        <x:v>Commencer par les défauts fonctionnels de ST50, puis analyser le désalignement, le capteur instable et le serrage.</x:v>
      </x:c>
      <x:c r="C23" s="52"/>
      <x:c r="D23" s="52"/>
      <x:c r="E23" s="52"/>
      <x:c r="F23" s="52"/>
      <x:c r="G23" s="52"/>
      <x:c r="H23" s="52"/>
      <x:c r="I23" s="53"/>
    </x:row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</x:sheetData>
  <x:mergeCells>
    <x:mergeCell ref="B20:I20"/>
    <x:mergeCell ref="B21:I21"/>
    <x:mergeCell ref="B22:I22"/>
    <x:mergeCell ref="B23:I23"/>
  </x:mergeCells>
  <x:pageMargins left="0.7" right="0.7" top="0.75" bottom="0.75" header="0.3" footer="0.3"/>
  <x:drawing xmlns:r="http://schemas.openxmlformats.org/officeDocument/2006/relationships" r:id="R9c9dfb9db36a4916"/>
</x:worksheet>
</file>

<file path=xl/worksheets/sheet4.xml><?xml version="1.0" encoding="utf-8"?>
<x:worksheet xmlns:x="http://schemas.openxmlformats.org/spreadsheetml/2006/main">
  <x:sheetPr>
    <x:tabColor rgb="FF28B8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3" hidden="0" customWidth="1"/>
    <x:col min="13" max="13" width="2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2" customHeight="1"/>
    <x:row r="2" ht="22" customHeight="1">
      <x:c r="A2" s="1" t="str">
        <x:v>EMA-120 - Tendance qualité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3" t="str">
        <x:v>Évolution quotidienne du FPY, du taux de retouche et des rebuts sur 20 jours de production.</x:v>
      </x:c>
    </x:row>
    <x:row r="5" ht="22" customHeight="1"/>
    <x:row r="6" ht="44" customHeight="1">
      <x:c r="A6" s="9" t="str">
        <x:v>Date</x:v>
      </x:c>
      <x:c r="B6" s="9" t="str">
        <x:v>Total 1er passage</x:v>
      </x:c>
      <x:c r="C6" s="9" t="str">
        <x:v>Bons 1er passage</x:v>
      </x:c>
      <x:c r="D6" s="9" t="str">
        <x:v>Échecs</x:v>
      </x:c>
      <x:c r="E6" s="9" t="str">
        <x:v>Bons après retouche</x:v>
      </x:c>
      <x:c r="F6" s="9" t="str">
        <x:v>Rebuts</x:v>
      </x:c>
      <x:c r="G6" s="9" t="str">
        <x:v>FPY</x:v>
      </x:c>
      <x:c r="H6" s="9" t="str">
        <x:v>Taux retouche</x:v>
      </x:c>
      <x:c r="I6" s="9" t="str">
        <x:v>Taux rebut</x:v>
      </x:c>
      <x:c r="J6" s="9" t="str">
        <x:v>Rendement final</x:v>
      </x:c>
      <x:c r="K6" s="9" t="str">
        <x:v>Temps retouche (min)</x:v>
      </x:c>
    </x:row>
    <x:row r="7" ht="22" customHeight="1">
      <x:c r="A7" s="18" t="str">
        <x:f>Sources!A54</x:f>
        <x:v>2027-01-11</x:v>
      </x:c>
      <x:c r="B7" s="20" t="n">
        <x:f>Sources!B54</x:f>
        <x:v>1289</x:v>
      </x:c>
      <x:c r="C7" s="20" t="n">
        <x:f>Sources!C54</x:f>
        <x:v>1285</x:v>
      </x:c>
      <x:c r="D7" s="20" t="n">
        <x:f>Sources!D54</x:f>
        <x:v>4</x:v>
      </x:c>
      <x:c r="E7" s="20" t="n">
        <x:f>Sources!F54</x:f>
        <x:v>3</x:v>
      </x:c>
      <x:c r="F7" s="20" t="n">
        <x:f>Sources!G54</x:f>
        <x:v>1</x:v>
      </x:c>
      <x:c r="G7" s="22" t="n">
        <x:f>C7/B7</x:f>
        <x:v>0.9968968192397207</x:v>
      </x:c>
      <x:c r="H7" s="22" t="n">
        <x:f>D7/B7</x:f>
        <x:v>0.0031031807602792862</x:v>
      </x:c>
      <x:c r="I7" s="22" t="n">
        <x:f>F7/B7</x:f>
        <x:v>0.0007757951900698216</x:v>
      </x:c>
      <x:c r="J7" s="22" t="n">
        <x:f>(C7+E7)/B7</x:f>
        <x:v>0.9992242048099301</x:v>
      </x:c>
      <x:c r="K7" s="24" t="n">
        <x:f>Sources!M54/60</x:f>
        <x:v>32</x:v>
      </x:c>
    </x:row>
    <x:row r="8" ht="22" customHeight="1">
      <x:c r="A8" s="19" t="str">
        <x:f>Sources!A55</x:f>
        <x:v>2027-01-12</x:v>
      </x:c>
      <x:c r="B8" s="21" t="n">
        <x:f>Sources!B55</x:f>
        <x:v>1269</x:v>
      </x:c>
      <x:c r="C8" s="21" t="n">
        <x:f>Sources!C55</x:f>
        <x:v>1263</x:v>
      </x:c>
      <x:c r="D8" s="21" t="n">
        <x:f>Sources!D55</x:f>
        <x:v>6</x:v>
      </x:c>
      <x:c r="E8" s="21" t="n">
        <x:f>Sources!F55</x:f>
        <x:v>6</x:v>
      </x:c>
      <x:c r="F8" s="21" t="n">
        <x:f>Sources!G55</x:f>
        <x:v>0</x:v>
      </x:c>
      <x:c r="G8" s="23" t="n">
        <x:f>C8/B8</x:f>
        <x:v>0.9952718676122931</x:v>
      </x:c>
      <x:c r="H8" s="23" t="n">
        <x:f>D8/B8</x:f>
        <x:v>0.004728132387706856</x:v>
      </x:c>
      <x:c r="I8" s="23" t="n">
        <x:f>F8/B8</x:f>
        <x:v>0</x:v>
      </x:c>
      <x:c r="J8" s="23" t="n">
        <x:f>(C8+E8)/B8</x:f>
        <x:v>1</x:v>
      </x:c>
      <x:c r="K8" s="25" t="n">
        <x:f>Sources!M55/60</x:f>
        <x:v>47.75</x:v>
      </x:c>
    </x:row>
    <x:row r="9" ht="22" customHeight="1">
      <x:c r="A9" s="19" t="str">
        <x:f>Sources!A56</x:f>
        <x:v>2027-01-13</x:v>
      </x:c>
      <x:c r="B9" s="21" t="n">
        <x:f>Sources!B56</x:f>
        <x:v>1297</x:v>
      </x:c>
      <x:c r="C9" s="21" t="n">
        <x:f>Sources!C56</x:f>
        <x:v>1291</x:v>
      </x:c>
      <x:c r="D9" s="21" t="n">
        <x:f>Sources!D56</x:f>
        <x:v>6</x:v>
      </x:c>
      <x:c r="E9" s="21" t="n">
        <x:f>Sources!F56</x:f>
        <x:v>6</x:v>
      </x:c>
      <x:c r="F9" s="21" t="n">
        <x:f>Sources!G56</x:f>
        <x:v>0</x:v>
      </x:c>
      <x:c r="G9" s="23" t="n">
        <x:f>C9/B9</x:f>
        <x:v>0.9953739398612182</x:v>
      </x:c>
      <x:c r="H9" s="23" t="n">
        <x:f>D9/B9</x:f>
        <x:v>0.004626060138781804</x:v>
      </x:c>
      <x:c r="I9" s="23" t="n">
        <x:f>F9/B9</x:f>
        <x:v>0</x:v>
      </x:c>
      <x:c r="J9" s="23" t="n">
        <x:f>(C9+E9)/B9</x:f>
        <x:v>1</x:v>
      </x:c>
      <x:c r="K9" s="25" t="n">
        <x:f>Sources!M56/60</x:f>
        <x:v>51.25</x:v>
      </x:c>
    </x:row>
    <x:row r="10" ht="22" customHeight="1">
      <x:c r="A10" s="19" t="str">
        <x:f>Sources!A57</x:f>
        <x:v>2027-01-14</x:v>
      </x:c>
      <x:c r="B10" s="21" t="n">
        <x:f>Sources!B57</x:f>
        <x:v>1260</x:v>
      </x:c>
      <x:c r="C10" s="21" t="n">
        <x:f>Sources!C57</x:f>
        <x:v>1252</x:v>
      </x:c>
      <x:c r="D10" s="21" t="n">
        <x:f>Sources!D57</x:f>
        <x:v>8</x:v>
      </x:c>
      <x:c r="E10" s="21" t="n">
        <x:f>Sources!F57</x:f>
        <x:v>8</x:v>
      </x:c>
      <x:c r="F10" s="21" t="n">
        <x:f>Sources!G57</x:f>
        <x:v>0</x:v>
      </x:c>
      <x:c r="G10" s="23" t="n">
        <x:f>C10/B10</x:f>
        <x:v>0.9936507936507937</x:v>
      </x:c>
      <x:c r="H10" s="23" t="n">
        <x:f>D10/B10</x:f>
        <x:v>0.006349206349206349</x:v>
      </x:c>
      <x:c r="I10" s="23" t="n">
        <x:f>F10/B10</x:f>
        <x:v>0</x:v>
      </x:c>
      <x:c r="J10" s="23" t="n">
        <x:f>(C10+E10)/B10</x:f>
        <x:v>1</x:v>
      </x:c>
      <x:c r="K10" s="25" t="n">
        <x:f>Sources!M57/60</x:f>
        <x:v>85</x:v>
      </x:c>
    </x:row>
    <x:row r="11" ht="22" customHeight="1">
      <x:c r="A11" s="19" t="str">
        <x:f>Sources!A58</x:f>
        <x:v>2027-01-15</x:v>
      </x:c>
      <x:c r="B11" s="21" t="n">
        <x:f>Sources!B58</x:f>
        <x:v>1276</x:v>
      </x:c>
      <x:c r="C11" s="21" t="n">
        <x:f>Sources!C58</x:f>
        <x:v>1267</x:v>
      </x:c>
      <x:c r="D11" s="21" t="n">
        <x:f>Sources!D58</x:f>
        <x:v>9</x:v>
      </x:c>
      <x:c r="E11" s="21" t="n">
        <x:f>Sources!F58</x:f>
        <x:v>9</x:v>
      </x:c>
      <x:c r="F11" s="21" t="n">
        <x:f>Sources!G58</x:f>
        <x:v>0</x:v>
      </x:c>
      <x:c r="G11" s="23" t="n">
        <x:f>C11/B11</x:f>
        <x:v>0.9929467084639498</x:v>
      </x:c>
      <x:c r="H11" s="23" t="n">
        <x:f>D11/B11</x:f>
        <x:v>0.007053291536050157</x:v>
      </x:c>
      <x:c r="I11" s="23" t="n">
        <x:f>F11/B11</x:f>
        <x:v>0</x:v>
      </x:c>
      <x:c r="J11" s="23" t="n">
        <x:f>(C11+E11)/B11</x:f>
        <x:v>1</x:v>
      </x:c>
      <x:c r="K11" s="25" t="n">
        <x:f>Sources!M58/60</x:f>
        <x:v>71.75</x:v>
      </x:c>
    </x:row>
    <x:row r="12" ht="22" customHeight="1">
      <x:c r="A12" s="19" t="str">
        <x:f>Sources!A59</x:f>
        <x:v>2027-01-18</x:v>
      </x:c>
      <x:c r="B12" s="21" t="n">
        <x:f>Sources!B59</x:f>
        <x:v>1273</x:v>
      </x:c>
      <x:c r="C12" s="21" t="n">
        <x:f>Sources!C59</x:f>
        <x:v>1261</x:v>
      </x:c>
      <x:c r="D12" s="21" t="n">
        <x:f>Sources!D59</x:f>
        <x:v>12</x:v>
      </x:c>
      <x:c r="E12" s="21" t="n">
        <x:f>Sources!F59</x:f>
        <x:v>11</x:v>
      </x:c>
      <x:c r="F12" s="21" t="n">
        <x:f>Sources!G59</x:f>
        <x:v>1</x:v>
      </x:c>
      <x:c r="G12" s="23" t="n">
        <x:f>C12/B12</x:f>
        <x:v>0.99057344854674</x:v>
      </x:c>
      <x:c r="H12" s="23" t="n">
        <x:f>D12/B12</x:f>
        <x:v>0.009426551453260016</x:v>
      </x:c>
      <x:c r="I12" s="23" t="n">
        <x:f>F12/B12</x:f>
        <x:v>0.0007855459544383347</x:v>
      </x:c>
      <x:c r="J12" s="23" t="n">
        <x:f>(C12+E12)/B12</x:f>
        <x:v>0.9992144540455616</x:v>
      </x:c>
      <x:c r="K12" s="25" t="n">
        <x:f>Sources!M59/60</x:f>
        <x:v>93</x:v>
      </x:c>
    </x:row>
    <x:row r="13" ht="22" customHeight="1">
      <x:c r="A13" s="19" t="str">
        <x:f>Sources!A60</x:f>
        <x:v>2027-01-19</x:v>
      </x:c>
      <x:c r="B13" s="21" t="n">
        <x:f>Sources!B60</x:f>
        <x:v>1285</x:v>
      </x:c>
      <x:c r="C13" s="21" t="n">
        <x:f>Sources!C60</x:f>
        <x:v>1277</x:v>
      </x:c>
      <x:c r="D13" s="21" t="n">
        <x:f>Sources!D60</x:f>
        <x:v>8</x:v>
      </x:c>
      <x:c r="E13" s="21" t="n">
        <x:f>Sources!F60</x:f>
        <x:v>7</x:v>
      </x:c>
      <x:c r="F13" s="21" t="n">
        <x:f>Sources!G60</x:f>
        <x:v>1</x:v>
      </x:c>
      <x:c r="G13" s="23" t="n">
        <x:f>C13/B13</x:f>
        <x:v>0.9937743190661479</x:v>
      </x:c>
      <x:c r="H13" s="23" t="n">
        <x:f>D13/B13</x:f>
        <x:v>0.0062256809338521405</x:v>
      </x:c>
      <x:c r="I13" s="23" t="n">
        <x:f>F13/B13</x:f>
        <x:v>0.0007782101167315176</x:v>
      </x:c>
      <x:c r="J13" s="23" t="n">
        <x:f>(C13+E13)/B13</x:f>
        <x:v>0.9992217898832685</x:v>
      </x:c>
      <x:c r="K13" s="25" t="n">
        <x:f>Sources!M60/60</x:f>
        <x:v>76.25</x:v>
      </x:c>
    </x:row>
    <x:row r="14" ht="22" customHeight="1">
      <x:c r="A14" s="19" t="str">
        <x:f>Sources!A61</x:f>
        <x:v>2027-01-20</x:v>
      </x:c>
      <x:c r="B14" s="21" t="n">
        <x:f>Sources!B61</x:f>
        <x:v>1264</x:v>
      </x:c>
      <x:c r="C14" s="21" t="n">
        <x:f>Sources!C61</x:f>
        <x:v>1256</x:v>
      </x:c>
      <x:c r="D14" s="21" t="n">
        <x:f>Sources!D61</x:f>
        <x:v>8</x:v>
      </x:c>
      <x:c r="E14" s="21" t="n">
        <x:f>Sources!F61</x:f>
        <x:v>7</x:v>
      </x:c>
      <x:c r="F14" s="21" t="n">
        <x:f>Sources!G61</x:f>
        <x:v>1</x:v>
      </x:c>
      <x:c r="G14" s="23" t="n">
        <x:f>C14/B14</x:f>
        <x:v>0.9936708860759493</x:v>
      </x:c>
      <x:c r="H14" s="23" t="n">
        <x:f>D14/B14</x:f>
        <x:v>0.006329113924050633</x:v>
      </x:c>
      <x:c r="I14" s="23" t="n">
        <x:f>F14/B14</x:f>
        <x:v>0.0007911392405063291</x:v>
      </x:c>
      <x:c r="J14" s="23" t="n">
        <x:f>(C14+E14)/B14</x:f>
        <x:v>0.9992088607594937</x:v>
      </x:c>
      <x:c r="K14" s="25" t="n">
        <x:f>Sources!M61/60</x:f>
        <x:v>59.25</x:v>
      </x:c>
    </x:row>
    <x:row r="15" ht="22" customHeight="1">
      <x:c r="A15" s="19" t="str">
        <x:f>Sources!A62</x:f>
        <x:v>2027-01-21</x:v>
      </x:c>
      <x:c r="B15" s="21" t="n">
        <x:f>Sources!B62</x:f>
        <x:v>1267</x:v>
      </x:c>
      <x:c r="C15" s="21" t="n">
        <x:f>Sources!C62</x:f>
        <x:v>1262</x:v>
      </x:c>
      <x:c r="D15" s="21" t="n">
        <x:f>Sources!D62</x:f>
        <x:v>5</x:v>
      </x:c>
      <x:c r="E15" s="21" t="n">
        <x:f>Sources!F62</x:f>
        <x:v>4</x:v>
      </x:c>
      <x:c r="F15" s="21" t="n">
        <x:f>Sources!G62</x:f>
        <x:v>1</x:v>
      </x:c>
      <x:c r="G15" s="23" t="n">
        <x:f>C15/B15</x:f>
        <x:v>0.9960536700868192</x:v>
      </x:c>
      <x:c r="H15" s="23" t="n">
        <x:f>D15/B15</x:f>
        <x:v>0.003946329913180742</x:v>
      </x:c>
      <x:c r="I15" s="23" t="n">
        <x:f>F15/B15</x:f>
        <x:v>0.0007892659826361484</x:v>
      </x:c>
      <x:c r="J15" s="23" t="n">
        <x:f>(C15+E15)/B15</x:f>
        <x:v>0.9992107340173638</x:v>
      </x:c>
      <x:c r="K15" s="25" t="n">
        <x:f>Sources!M62/60</x:f>
        <x:v>51.25</x:v>
      </x:c>
    </x:row>
    <x:row r="16" ht="22" customHeight="1">
      <x:c r="A16" s="19" t="str">
        <x:f>Sources!A63</x:f>
        <x:v>2027-01-22</x:v>
      </x:c>
      <x:c r="B16" s="21" t="n">
        <x:f>Sources!B63</x:f>
        <x:v>1261</x:v>
      </x:c>
      <x:c r="C16" s="21" t="n">
        <x:f>Sources!C63</x:f>
        <x:v>1256</x:v>
      </x:c>
      <x:c r="D16" s="21" t="n">
        <x:f>Sources!D63</x:f>
        <x:v>5</x:v>
      </x:c>
      <x:c r="E16" s="21" t="n">
        <x:f>Sources!F63</x:f>
        <x:v>5</x:v>
      </x:c>
      <x:c r="F16" s="21" t="n">
        <x:f>Sources!G63</x:f>
        <x:v>0</x:v>
      </x:c>
      <x:c r="G16" s="23" t="n">
        <x:f>C16/B16</x:f>
        <x:v>0.9960348929421095</x:v>
      </x:c>
      <x:c r="H16" s="23" t="n">
        <x:f>D16/B16</x:f>
        <x:v>0.003965107057890563</x:v>
      </x:c>
      <x:c r="I16" s="23" t="n">
        <x:f>F16/B16</x:f>
        <x:v>0</x:v>
      </x:c>
      <x:c r="J16" s="23" t="n">
        <x:f>(C16+E16)/B16</x:f>
        <x:v>1</x:v>
      </x:c>
      <x:c r="K16" s="25" t="n">
        <x:f>Sources!M63/60</x:f>
        <x:v>50.5</x:v>
      </x:c>
    </x:row>
    <x:row r="17" ht="22" customHeight="1">
      <x:c r="A17" s="19" t="str">
        <x:f>Sources!A64</x:f>
        <x:v>2027-01-25</x:v>
      </x:c>
      <x:c r="B17" s="21" t="n">
        <x:f>Sources!B64</x:f>
        <x:v>1289</x:v>
      </x:c>
      <x:c r="C17" s="21" t="n">
        <x:f>Sources!C64</x:f>
        <x:v>1284</x:v>
      </x:c>
      <x:c r="D17" s="21" t="n">
        <x:f>Sources!D64</x:f>
        <x:v>5</x:v>
      </x:c>
      <x:c r="E17" s="21" t="n">
        <x:f>Sources!F64</x:f>
        <x:v>5</x:v>
      </x:c>
      <x:c r="F17" s="21" t="n">
        <x:f>Sources!G64</x:f>
        <x:v>0</x:v>
      </x:c>
      <x:c r="G17" s="23" t="n">
        <x:f>C17/B17</x:f>
        <x:v>0.9961210240496509</x:v>
      </x:c>
      <x:c r="H17" s="23" t="n">
        <x:f>D17/B17</x:f>
        <x:v>0.003878975950349108</x:v>
      </x:c>
      <x:c r="I17" s="23" t="n">
        <x:f>F17/B17</x:f>
        <x:v>0</x:v>
      </x:c>
      <x:c r="J17" s="23" t="n">
        <x:f>(C17+E17)/B17</x:f>
        <x:v>1</x:v>
      </x:c>
      <x:c r="K17" s="25" t="n">
        <x:f>Sources!M64/60</x:f>
        <x:v>67</x:v>
      </x:c>
    </x:row>
    <x:row r="18" ht="22" customHeight="1">
      <x:c r="A18" s="19" t="str">
        <x:f>Sources!A65</x:f>
        <x:v>2027-01-26</x:v>
      </x:c>
      <x:c r="B18" s="21" t="n">
        <x:f>Sources!B65</x:f>
        <x:v>1271</x:v>
      </x:c>
      <x:c r="C18" s="21" t="n">
        <x:f>Sources!C65</x:f>
        <x:v>1266</x:v>
      </x:c>
      <x:c r="D18" s="21" t="n">
        <x:f>Sources!D65</x:f>
        <x:v>5</x:v>
      </x:c>
      <x:c r="E18" s="21" t="n">
        <x:f>Sources!F65</x:f>
        <x:v>5</x:v>
      </x:c>
      <x:c r="F18" s="21" t="n">
        <x:f>Sources!G65</x:f>
        <x:v>0</x:v>
      </x:c>
      <x:c r="G18" s="23" t="n">
        <x:f>C18/B18</x:f>
        <x:v>0.996066089693155</x:v>
      </x:c>
      <x:c r="H18" s="23" t="n">
        <x:f>D18/B18</x:f>
        <x:v>0.003933910306845004</x:v>
      </x:c>
      <x:c r="I18" s="23" t="n">
        <x:f>F18/B18</x:f>
        <x:v>0</x:v>
      </x:c>
      <x:c r="J18" s="23" t="n">
        <x:f>(C18+E18)/B18</x:f>
        <x:v>1</x:v>
      </x:c>
      <x:c r="K18" s="25" t="n">
        <x:f>Sources!M65/60</x:f>
        <x:v>44.5</x:v>
      </x:c>
    </x:row>
    <x:row r="19" ht="22" customHeight="1">
      <x:c r="A19" s="19" t="str">
        <x:f>Sources!A66</x:f>
        <x:v>2027-01-27</x:v>
      </x:c>
      <x:c r="B19" s="21" t="n">
        <x:f>Sources!B66</x:f>
        <x:v>1309</x:v>
      </x:c>
      <x:c r="C19" s="21" t="n">
        <x:f>Sources!C66</x:f>
        <x:v>1306</x:v>
      </x:c>
      <x:c r="D19" s="21" t="n">
        <x:f>Sources!D66</x:f>
        <x:v>3</x:v>
      </x:c>
      <x:c r="E19" s="21" t="n">
        <x:f>Sources!F66</x:f>
        <x:v>3</x:v>
      </x:c>
      <x:c r="F19" s="21" t="n">
        <x:f>Sources!G66</x:f>
        <x:v>0</x:v>
      </x:c>
      <x:c r="G19" s="23" t="n">
        <x:f>C19/B19</x:f>
        <x:v>0.9977081741787625</x:v>
      </x:c>
      <x:c r="H19" s="23" t="n">
        <x:f>D19/B19</x:f>
        <x:v>0.002291825821237586</x:v>
      </x:c>
      <x:c r="I19" s="23" t="n">
        <x:f>F19/B19</x:f>
        <x:v>0</x:v>
      </x:c>
      <x:c r="J19" s="23" t="n">
        <x:f>(C19+E19)/B19</x:f>
        <x:v>1</x:v>
      </x:c>
      <x:c r="K19" s="25" t="n">
        <x:f>Sources!M66/60</x:f>
        <x:v>27</x:v>
      </x:c>
    </x:row>
    <x:row r="20" ht="22" customHeight="1">
      <x:c r="A20" s="19" t="str">
        <x:f>Sources!A67</x:f>
        <x:v>2027-01-28</x:v>
      </x:c>
      <x:c r="B20" s="21" t="n">
        <x:f>Sources!B67</x:f>
        <x:v>1279</x:v>
      </x:c>
      <x:c r="C20" s="21" t="n">
        <x:f>Sources!C67</x:f>
        <x:v>1276</x:v>
      </x:c>
      <x:c r="D20" s="21" t="n">
        <x:f>Sources!D67</x:f>
        <x:v>3</x:v>
      </x:c>
      <x:c r="E20" s="21" t="n">
        <x:f>Sources!F67</x:f>
        <x:v>3</x:v>
      </x:c>
      <x:c r="F20" s="21" t="n">
        <x:f>Sources!G67</x:f>
        <x:v>0</x:v>
      </x:c>
      <x:c r="G20" s="23" t="n">
        <x:f>C20/B20</x:f>
        <x:v>0.9976544175136826</x:v>
      </x:c>
      <x:c r="H20" s="23" t="n">
        <x:f>D20/B20</x:f>
        <x:v>0.0023455824863174357</x:v>
      </x:c>
      <x:c r="I20" s="23" t="n">
        <x:f>F20/B20</x:f>
        <x:v>0</x:v>
      </x:c>
      <x:c r="J20" s="23" t="n">
        <x:f>(C20+E20)/B20</x:f>
        <x:v>1</x:v>
      </x:c>
      <x:c r="K20" s="25" t="n">
        <x:f>Sources!M67/60</x:f>
        <x:v>26.25</x:v>
      </x:c>
    </x:row>
    <x:row r="21" ht="22" customHeight="1">
      <x:c r="A21" s="19" t="str">
        <x:f>Sources!A68</x:f>
        <x:v>2027-01-29</x:v>
      </x:c>
      <x:c r="B21" s="21" t="n">
        <x:f>Sources!B68</x:f>
        <x:v>1282</x:v>
      </x:c>
      <x:c r="C21" s="21" t="n">
        <x:f>Sources!C68</x:f>
        <x:v>1274</x:v>
      </x:c>
      <x:c r="D21" s="21" t="n">
        <x:f>Sources!D68</x:f>
        <x:v>8</x:v>
      </x:c>
      <x:c r="E21" s="21" t="n">
        <x:f>Sources!F68</x:f>
        <x:v>7</x:v>
      </x:c>
      <x:c r="F21" s="21" t="n">
        <x:f>Sources!G68</x:f>
        <x:v>1</x:v>
      </x:c>
      <x:c r="G21" s="23" t="n">
        <x:f>C21/B21</x:f>
        <x:v>0.9937597503900156</x:v>
      </x:c>
      <x:c r="H21" s="23" t="n">
        <x:f>D21/B21</x:f>
        <x:v>0.0062402496099844</x:v>
      </x:c>
      <x:c r="I21" s="23" t="n">
        <x:f>F21/B21</x:f>
        <x:v>0.00078003120124805</x:v>
      </x:c>
      <x:c r="J21" s="23" t="n">
        <x:f>(C21+E21)/B21</x:f>
        <x:v>0.999219968798752</x:v>
      </x:c>
      <x:c r="K21" s="25" t="n">
        <x:f>Sources!M68/60</x:f>
        <x:v>72.75</x:v>
      </x:c>
    </x:row>
    <x:row r="22" ht="22" customHeight="1">
      <x:c r="A22" s="19" t="str">
        <x:f>Sources!A69</x:f>
        <x:v>2027-02-01</x:v>
      </x:c>
      <x:c r="B22" s="21" t="n">
        <x:f>Sources!B69</x:f>
        <x:v>1245</x:v>
      </x:c>
      <x:c r="C22" s="21" t="n">
        <x:f>Sources!C69</x:f>
        <x:v>1238</x:v>
      </x:c>
      <x:c r="D22" s="21" t="n">
        <x:f>Sources!D69</x:f>
        <x:v>7</x:v>
      </x:c>
      <x:c r="E22" s="21" t="n">
        <x:f>Sources!F69</x:f>
        <x:v>7</x:v>
      </x:c>
      <x:c r="F22" s="21" t="n">
        <x:f>Sources!G69</x:f>
        <x:v>0</x:v>
      </x:c>
      <x:c r="G22" s="23" t="n">
        <x:f>C22/B22</x:f>
        <x:v>0.9943775100401606</x:v>
      </x:c>
      <x:c r="H22" s="23" t="n">
        <x:f>D22/B22</x:f>
        <x:v>0.005622489959839358</x:v>
      </x:c>
      <x:c r="I22" s="23" t="n">
        <x:f>F22/B22</x:f>
        <x:v>0</x:v>
      </x:c>
      <x:c r="J22" s="23" t="n">
        <x:f>(C22+E22)/B22</x:f>
        <x:v>1</x:v>
      </x:c>
      <x:c r="K22" s="25" t="n">
        <x:f>Sources!M69/60</x:f>
        <x:v>60.5</x:v>
      </x:c>
    </x:row>
    <x:row r="23" ht="22" customHeight="1">
      <x:c r="A23" s="19" t="str">
        <x:f>Sources!A70</x:f>
        <x:v>2027-02-02</x:v>
      </x:c>
      <x:c r="B23" s="21" t="n">
        <x:f>Sources!B70</x:f>
        <x:v>1298</x:v>
      </x:c>
      <x:c r="C23" s="21" t="n">
        <x:f>Sources!C70</x:f>
        <x:v>1294</x:v>
      </x:c>
      <x:c r="D23" s="21" t="n">
        <x:f>Sources!D70</x:f>
        <x:v>4</x:v>
      </x:c>
      <x:c r="E23" s="21" t="n">
        <x:f>Sources!F70</x:f>
        <x:v>4</x:v>
      </x:c>
      <x:c r="F23" s="21" t="n">
        <x:f>Sources!G70</x:f>
        <x:v>0</x:v>
      </x:c>
      <x:c r="G23" s="23" t="n">
        <x:f>C23/B23</x:f>
        <x:v>0.9969183359013868</x:v>
      </x:c>
      <x:c r="H23" s="23" t="n">
        <x:f>D23/B23</x:f>
        <x:v>0.0030816640986132513</x:v>
      </x:c>
      <x:c r="I23" s="23" t="n">
        <x:f>F23/B23</x:f>
        <x:v>0</x:v>
      </x:c>
      <x:c r="J23" s="23" t="n">
        <x:f>(C23+E23)/B23</x:f>
        <x:v>1</x:v>
      </x:c>
      <x:c r="K23" s="25" t="n">
        <x:f>Sources!M70/60</x:f>
        <x:v>29.75</x:v>
      </x:c>
    </x:row>
    <x:row r="24" ht="38" customHeight="1">
      <x:c r="A24" s="19" t="str">
        <x:f>Sources!A71</x:f>
        <x:v>2027-02-03</x:v>
      </x:c>
      <x:c r="B24" s="21" t="n">
        <x:f>Sources!B71</x:f>
        <x:v>1275</x:v>
      </x:c>
      <x:c r="C24" s="21" t="n">
        <x:f>Sources!C71</x:f>
        <x:v>1269</x:v>
      </x:c>
      <x:c r="D24" s="21" t="n">
        <x:f>Sources!D71</x:f>
        <x:v>6</x:v>
      </x:c>
      <x:c r="E24" s="21" t="n">
        <x:f>Sources!F71</x:f>
        <x:v>6</x:v>
      </x:c>
      <x:c r="F24" s="21" t="n">
        <x:f>Sources!G71</x:f>
        <x:v>0</x:v>
      </x:c>
      <x:c r="G24" s="23" t="n">
        <x:f>C24/B24</x:f>
        <x:v>0.9952941176470588</x:v>
      </x:c>
      <x:c r="H24" s="23" t="n">
        <x:f>D24/B24</x:f>
        <x:v>0.004705882352941176</x:v>
      </x:c>
      <x:c r="I24" s="23" t="n">
        <x:f>F24/B24</x:f>
        <x:v>0</x:v>
      </x:c>
      <x:c r="J24" s="23" t="n">
        <x:f>(C24+E24)/B24</x:f>
        <x:v>1</x:v>
      </x:c>
      <x:c r="K24" s="25" t="n">
        <x:f>Sources!M71/60</x:f>
        <x:v>44</x:v>
      </x:c>
      <x:c r="M24" s="46" t="str">
        <x:v>FPY le plus faible</x:v>
      </x:c>
      <x:c r="N24" s="47" t="str">
        <x:v>2027-02-05 : 99,02 %, avec 12 échecs initiaux.</x:v>
      </x:c>
      <x:c r="O24" s="47"/>
      <x:c r="P24" s="47"/>
      <x:c r="Q24" s="47"/>
      <x:c r="R24" s="48"/>
    </x:row>
    <x:row r="25" ht="38" customHeight="1">
      <x:c r="A25" s="19" t="str">
        <x:f>Sources!A72</x:f>
        <x:v>2027-02-04</x:v>
      </x:c>
      <x:c r="B25" s="21" t="n">
        <x:f>Sources!B72</x:f>
        <x:v>1280</x:v>
      </x:c>
      <x:c r="C25" s="21" t="n">
        <x:f>Sources!C72</x:f>
        <x:v>1272</x:v>
      </x:c>
      <x:c r="D25" s="21" t="n">
        <x:f>Sources!D72</x:f>
        <x:v>8</x:v>
      </x:c>
      <x:c r="E25" s="21" t="n">
        <x:f>Sources!F72</x:f>
        <x:v>8</x:v>
      </x:c>
      <x:c r="F25" s="21" t="n">
        <x:f>Sources!G72</x:f>
        <x:v>0</x:v>
      </x:c>
      <x:c r="G25" s="23" t="n">
        <x:f>C25/B25</x:f>
        <x:v>0.99375</x:v>
      </x:c>
      <x:c r="H25" s="23" t="n">
        <x:f>D25/B25</x:f>
        <x:v>0.00625</x:v>
      </x:c>
      <x:c r="I25" s="23" t="n">
        <x:f>F25/B25</x:f>
        <x:v>0</x:v>
      </x:c>
      <x:c r="J25" s="23" t="n">
        <x:f>(C25+E25)/B25</x:f>
        <x:v>1</x:v>
      </x:c>
      <x:c r="K25" s="25" t="n">
        <x:f>Sources!M72/60</x:f>
        <x:v>80.5</x:v>
      </x:c>
      <x:c r="M25" s="49" t="str">
        <x:v>FPY le plus élevé</x:v>
      </x:c>
      <x:c r="N25" s="45" t="str">
        <x:v>2027-01-27 : 99,77 %.</x:v>
      </x:c>
      <x:c r="O25" s="45"/>
      <x:c r="P25" s="45"/>
      <x:c r="Q25" s="45"/>
      <x:c r="R25" s="50"/>
    </x:row>
    <x:row r="26" ht="38" customHeight="1">
      <x:c r="A26" s="19" t="str">
        <x:f>Sources!A73</x:f>
        <x:v>2027-02-05</x:v>
      </x:c>
      <x:c r="B26" s="21" t="n">
        <x:f>Sources!B73</x:f>
        <x:v>1224</x:v>
      </x:c>
      <x:c r="C26" s="21" t="n">
        <x:f>Sources!C73</x:f>
        <x:v>1212</x:v>
      </x:c>
      <x:c r="D26" s="21" t="n">
        <x:f>Sources!D73</x:f>
        <x:v>12</x:v>
      </x:c>
      <x:c r="E26" s="21" t="n">
        <x:f>Sources!F73</x:f>
        <x:v>12</x:v>
      </x:c>
      <x:c r="F26" s="21" t="n">
        <x:f>Sources!G73</x:f>
        <x:v>0</x:v>
      </x:c>
      <x:c r="G26" s="23" t="n">
        <x:f>C26/B26</x:f>
        <x:v>0.9901960784313726</x:v>
      </x:c>
      <x:c r="H26" s="23" t="n">
        <x:f>D26/B26</x:f>
        <x:v>0.00980392156862745</x:v>
      </x:c>
      <x:c r="I26" s="23" t="n">
        <x:f>F26/B26</x:f>
        <x:v>0</x:v>
      </x:c>
      <x:c r="J26" s="23" t="n">
        <x:f>(C26+E26)/B26</x:f>
        <x:v>1</x:v>
      </x:c>
      <x:c r="K26" s="25" t="n">
        <x:f>Sources!M73/60</x:f>
        <x:v>117.25</x:v>
      </x:c>
      <x:c r="M26" s="49" t="str">
        <x:v>Rebuts</x:v>
      </x:c>
      <x:c r="N26" s="45" t="str">
        <x:v>6 rebuts sont répartis sur 6 journées. Aucun épisode unique ne domine la période.</x:v>
      </x:c>
      <x:c r="O26" s="45"/>
      <x:c r="P26" s="45"/>
      <x:c r="Q26" s="45"/>
      <x:c r="R26" s="50"/>
    </x:row>
    <x:row r="27" ht="38" customHeight="1">
      <x:c r="M27" s="51" t="str">
        <x:v>Lecture</x:v>
      </x:c>
      <x:c r="N27" s="52" t="str">
        <x:v>Le niveau quotidien reste élevé, mais les variations de retouche justifient un suivi séparé du rendement final.</x:v>
      </x:c>
      <x:c r="O27" s="52"/>
      <x:c r="P27" s="52"/>
      <x:c r="Q27" s="52"/>
      <x:c r="R27" s="53"/>
    </x:row>
    <x:row r="28" ht="22" customHeight="1"/>
  </x:sheetData>
  <x:mergeCells>
    <x:mergeCell ref="N24:R24"/>
    <x:mergeCell ref="N25:R25"/>
    <x:mergeCell ref="N26:R26"/>
    <x:mergeCell ref="N27:R27"/>
  </x:mergeCells>
  <x:pageMargins left="0.7" right="0.7" top="0.75" bottom="0.75" header="0.3" footer="0.3"/>
  <x:drawing xmlns:r="http://schemas.openxmlformats.org/officeDocument/2006/relationships" r:id="R88ad51b40d87480d"/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4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5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2" customHeight="1"/>
    <x:row r="2" ht="22" customHeight="1">
      <x:c r="A2" s="1" t="str">
        <x:v>EMA-120 - Sources et agrégats J11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3" t="str">
        <x:v>Base : une opportunité qualité par couple numéro de série / poste au premier passage.</x:v>
      </x:c>
    </x:row>
    <x:row r="5" ht="22" customHeight="1"/>
    <x:row r="6" ht="22" customHeight="1">
      <x:c r="A6" s="9" t="str">
        <x:v>Indicateur</x:v>
      </x:c>
      <x:c r="B6" s="9" t="str">
        <x:v>Valeur</x:v>
      </x:c>
      <x:c r="C6" s="9" t="str">
        <x:v>Unité</x:v>
      </x:c>
      <x:c r="D6" s="9" t="str">
        <x:v>Définition</x:v>
      </x:c>
    </x:row>
    <x:row r="7" ht="22" customHeight="1">
      <x:c r="A7" s="12" t="str">
        <x:v>Période</x:v>
      </x:c>
      <x:c r="B7" s="15" t="str">
        <x:v>2027-01-11 au 2027-02-05</x:v>
      </x:c>
      <x:c r="C7" s="12" t="str">
        <x:v>20 jours</x:v>
      </x:c>
      <x:c r="D7" s="12" t="str">
        <x:v>Période de production analysée</x:v>
      </x:c>
    </x:row>
    <x:row r="8" ht="22" customHeight="1">
      <x:c r="A8" s="13" t="str">
        <x:v>Opportunités premier passage</x:v>
      </x:c>
      <x:c r="B8" s="16" t="n">
        <x:v>25493</x:v>
      </x:c>
      <x:c r="C8" s="13" t="str">
        <x:v>contrôles</x:v>
      </x:c>
      <x:c r="D8" s="13" t="str">
        <x:v>Couples numéro de série / poste</x:v>
      </x:c>
    </x:row>
    <x:row r="9" ht="22" customHeight="1">
      <x:c r="A9" s="13" t="str">
        <x:v>Bons au premier passage</x:v>
      </x:c>
      <x:c r="B9" s="16" t="n">
        <x:v>25361</x:v>
      </x:c>
      <x:c r="C9" s="13" t="str">
        <x:v>contrôles</x:v>
      </x:c>
      <x:c r="D9" s="13" t="str">
        <x:v>Numérateur FPY</x:v>
      </x:c>
    </x:row>
    <x:row r="10" ht="22" customHeight="1">
      <x:c r="A10" s="13" t="str">
        <x:v>Échecs premier passage</x:v>
      </x:c>
      <x:c r="B10" s="16" t="n">
        <x:v>132</x:v>
      </x:c>
      <x:c r="C10" s="13" t="str">
        <x:v>contrôles</x:v>
      </x:c>
      <x:c r="D10" s="13" t="str">
        <x:v>Défauts initiaux</x:v>
      </x:c>
    </x:row>
    <x:row r="11" ht="22" customHeight="1">
      <x:c r="A11" s="13" t="str">
        <x:v>Retouches requises</x:v>
      </x:c>
      <x:c r="B11" s="16" t="n">
        <x:v>132</x:v>
      </x:c>
      <x:c r="C11" s="13" t="str">
        <x:v>unités</x:v>
      </x:c>
      <x:c r="D11" s="13" t="str">
        <x:v>Orientation en retouche après échec initial</x:v>
      </x:c>
    </x:row>
    <x:row r="12" ht="22" customHeight="1">
      <x:c r="A12" s="13" t="str">
        <x:v>Bons après retouche</x:v>
      </x:c>
      <x:c r="B12" s="16" t="n">
        <x:v>126</x:v>
      </x:c>
      <x:c r="C12" s="13" t="str">
        <x:v>unités</x:v>
      </x:c>
      <x:c r="D12" s="13" t="str">
        <x:v>Acceptés sur un passage ultérieur</x:v>
      </x:c>
    </x:row>
    <x:row r="13" ht="22" customHeight="1">
      <x:c r="A13" s="13" t="str">
        <x:v>Rebuts finaux</x:v>
      </x:c>
      <x:c r="B13" s="16" t="n">
        <x:v>6</x:v>
      </x:c>
      <x:c r="C13" s="13" t="str">
        <x:v>unités</x:v>
      </x:c>
      <x:c r="D13" s="13" t="str">
        <x:v>Non-conformité persistante</x:v>
      </x:c>
    </x:row>
    <x:row r="14" ht="22" customHeight="1">
      <x:c r="A14" s="13" t="str">
        <x:v>Temps total de retouche</x:v>
      </x:c>
      <x:c r="B14" s="16" t="n">
        <x:v>71250</x:v>
      </x:c>
      <x:c r="C14" s="13" t="str">
        <x:v>s</x:v>
      </x:c>
      <x:c r="D14" s="13" t="str">
        <x:v>Durée enregistrée lors de la décision de retouche</x:v>
      </x:c>
    </x:row>
    <x:row r="15" ht="22" customHeight="1">
      <x:c r="A15" s="13" t="str">
        <x:v>Validation</x:v>
      </x:c>
      <x:c r="B15" s="17" t="str">
        <x:v>PASS</x:v>
      </x:c>
      <x:c r="C15" s="13" t="str">
        <x:v>statut</x:v>
      </x:c>
      <x:c r="D15" s="13" t="str">
        <x:v>J06 PASS et réconciliation ST50 avec J09</x:v>
      </x:c>
    </x:row>
    <x:row r="16" ht="22" customHeight="1">
      <x:c r="A16" s="13" t="str">
        <x:v>Partition finale</x:v>
      </x:c>
      <x:c r="B16" s="17" t="str">
        <x:v>PASS</x:v>
      </x:c>
      <x:c r="C16" s="13" t="str">
        <x:v>statut</x:v>
      </x:c>
      <x:c r="D16" s="13" t="str">
        <x:v>Premier passage bon + bon après retouche + rebut = total</x:v>
      </x:c>
    </x:row>
    <x:row r="17" ht="22" customHeight="1"/>
    <x:row r="18" ht="22" customHeight="1"/>
    <x:row r="19" ht="44" customHeight="1">
      <x:c r="A19" s="9" t="str">
        <x:v>Axe</x:v>
      </x:c>
      <x:c r="B19" s="9" t="str">
        <x:v>Total 1er passage</x:v>
      </x:c>
      <x:c r="C19" s="9" t="str">
        <x:v>Bons 1er passage</x:v>
      </x:c>
      <x:c r="D19" s="9" t="str">
        <x:v>Échecs</x:v>
      </x:c>
      <x:c r="E19" s="9" t="str">
        <x:v>Retouches</x:v>
      </x:c>
      <x:c r="F19" s="9" t="str">
        <x:v>Bons après retouche</x:v>
      </x:c>
      <x:c r="G19" s="9" t="str">
        <x:v>Rebuts</x:v>
      </x:c>
      <x:c r="H19" s="9" t="str">
        <x:v>Bons finaux</x:v>
      </x:c>
      <x:c r="I19" s="9" t="str">
        <x:v>FPY</x:v>
      </x:c>
      <x:c r="J19" s="9" t="str">
        <x:v>Taux retouche</x:v>
      </x:c>
      <x:c r="K19" s="9" t="str">
        <x:v>Taux rebut</x:v>
      </x:c>
      <x:c r="L19" s="9" t="str">
        <x:v>Rendement final</x:v>
      </x:c>
      <x:c r="M19" s="9" t="str">
        <x:v>Temps retouche (s)</x:v>
      </x:c>
      <x:c r="N19" s="9" t="str">
        <x:v>Retouche moyenne (s)</x:v>
      </x:c>
    </x:row>
    <x:row r="20" ht="22" customHeight="1">
      <x:c r="A20" s="18" t="str">
        <x:v>ST10</x:v>
      </x:c>
      <x:c r="B20" s="20" t="n">
        <x:v>4200</x:v>
      </x:c>
      <x:c r="C20" s="20" t="n">
        <x:v>4200</x:v>
      </x:c>
      <x:c r="D20" s="20" t="n">
        <x:v>0</x:v>
      </x:c>
      <x:c r="E20" s="20" t="n">
        <x:v>0</x:v>
      </x:c>
      <x:c r="F20" s="20" t="n">
        <x:v>0</x:v>
      </x:c>
      <x:c r="G20" s="20" t="n">
        <x:v>0</x:v>
      </x:c>
      <x:c r="H20" s="20" t="n">
        <x:v>4200</x:v>
      </x:c>
      <x:c r="I20" s="22" t="n">
        <x:v>1</x:v>
      </x:c>
      <x:c r="J20" s="22" t="n">
        <x:v>0</x:v>
      </x:c>
      <x:c r="K20" s="22" t="n">
        <x:v>0</x:v>
      </x:c>
      <x:c r="L20" s="22" t="n">
        <x:v>1</x:v>
      </x:c>
      <x:c r="M20" s="24" t="n">
        <x:v>0</x:v>
      </x:c>
      <x:c r="N20" s="24" t="n">
        <x:v>0</x:v>
      </x:c>
    </x:row>
    <x:row r="21" ht="22" customHeight="1">
      <x:c r="A21" s="19" t="str">
        <x:v>ST20</x:v>
      </x:c>
      <x:c r="B21" s="21" t="n">
        <x:v>4198</x:v>
      </x:c>
      <x:c r="C21" s="21" t="n">
        <x:v>4198</x:v>
      </x:c>
      <x:c r="D21" s="21" t="n">
        <x:v>0</x:v>
      </x:c>
      <x:c r="E21" s="21" t="n">
        <x:v>0</x:v>
      </x:c>
      <x:c r="F21" s="21" t="n">
        <x:v>0</x:v>
      </x:c>
      <x:c r="G21" s="21" t="n">
        <x:v>0</x:v>
      </x:c>
      <x:c r="H21" s="21" t="n">
        <x:v>4198</x:v>
      </x:c>
      <x:c r="I21" s="23" t="n">
        <x:v>1</x:v>
      </x:c>
      <x:c r="J21" s="23" t="n">
        <x:v>0</x:v>
      </x:c>
      <x:c r="K21" s="23" t="n">
        <x:v>0</x:v>
      </x:c>
      <x:c r="L21" s="23" t="n">
        <x:v>1</x:v>
      </x:c>
      <x:c r="M21" s="25" t="n">
        <x:v>0</x:v>
      </x:c>
      <x:c r="N21" s="25" t="n">
        <x:v>0</x:v>
      </x:c>
    </x:row>
    <x:row r="22" ht="22" customHeight="1">
      <x:c r="A22" s="19" t="str">
        <x:v>ST30</x:v>
      </x:c>
      <x:c r="B22" s="21" t="n">
        <x:v>3826</x:v>
      </x:c>
      <x:c r="C22" s="21" t="n">
        <x:v>3826</x:v>
      </x:c>
      <x:c r="D22" s="21" t="n">
        <x:v>0</x:v>
      </x:c>
      <x:c r="E22" s="21" t="n">
        <x:v>0</x:v>
      </x:c>
      <x:c r="F22" s="21" t="n">
        <x:v>0</x:v>
      </x:c>
      <x:c r="G22" s="21" t="n">
        <x:v>0</x:v>
      </x:c>
      <x:c r="H22" s="21" t="n">
        <x:v>3826</x:v>
      </x:c>
      <x:c r="I22" s="23" t="n">
        <x:v>1</x:v>
      </x:c>
      <x:c r="J22" s="23" t="n">
        <x:v>0</x:v>
      </x:c>
      <x:c r="K22" s="23" t="n">
        <x:v>0</x:v>
      </x:c>
      <x:c r="L22" s="23" t="n">
        <x:v>1</x:v>
      </x:c>
      <x:c r="M22" s="25" t="n">
        <x:v>0</x:v>
      </x:c>
      <x:c r="N22" s="25" t="n">
        <x:v>0</x:v>
      </x:c>
    </x:row>
    <x:row r="23" ht="22" customHeight="1">
      <x:c r="A23" s="19" t="str">
        <x:v>ST40</x:v>
      </x:c>
      <x:c r="B23" s="21" t="n">
        <x:v>3821</x:v>
      </x:c>
      <x:c r="C23" s="21" t="n">
        <x:v>3797</x:v>
      </x:c>
      <x:c r="D23" s="21" t="n">
        <x:v>24</x:v>
      </x:c>
      <x:c r="E23" s="21" t="n">
        <x:v>24</x:v>
      </x:c>
      <x:c r="F23" s="21" t="n">
        <x:v>23</x:v>
      </x:c>
      <x:c r="G23" s="21" t="n">
        <x:v>1</x:v>
      </x:c>
      <x:c r="H23" s="21" t="n">
        <x:v>3820</x:v>
      </x:c>
      <x:c r="I23" s="23" t="n">
        <x:v>0.9937189217482334</x:v>
      </x:c>
      <x:c r="J23" s="23" t="n">
        <x:v>0.006281078251766554</x:v>
      </x:c>
      <x:c r="K23" s="23" t="n">
        <x:v>0.00026171159382360636</x:v>
      </x:c>
      <x:c r="L23" s="23" t="n">
        <x:v>0.9997382884061764</x:v>
      </x:c>
      <x:c r="M23" s="25" t="n">
        <x:v>12195</x:v>
      </x:c>
      <x:c r="N23" s="25" t="n">
        <x:v>508.125</x:v>
      </x:c>
    </x:row>
    <x:row r="24" ht="22" customHeight="1">
      <x:c r="A24" s="19" t="str">
        <x:v>ST50</x:v>
      </x:c>
      <x:c r="B24" s="21" t="n">
        <x:v>3156</x:v>
      </x:c>
      <x:c r="C24" s="21" t="n">
        <x:v>3088</x:v>
      </x:c>
      <x:c r="D24" s="21" t="n">
        <x:v>68</x:v>
      </x:c>
      <x:c r="E24" s="21" t="n">
        <x:v>68</x:v>
      </x:c>
      <x:c r="F24" s="21" t="n">
        <x:v>65</x:v>
      </x:c>
      <x:c r="G24" s="21" t="n">
        <x:v>3</x:v>
      </x:c>
      <x:c r="H24" s="21" t="n">
        <x:v>3153</x:v>
      </x:c>
      <x:c r="I24" s="23" t="n">
        <x:v>0.9784537389100126</x:v>
      </x:c>
      <x:c r="J24" s="23" t="n">
        <x:v>0.021546261089987327</x:v>
      </x:c>
      <x:c r="K24" s="23" t="n">
        <x:v>0.0009505703422053232</x:v>
      </x:c>
      <x:c r="L24" s="23" t="n">
        <x:v>0.9990494296577946</x:v>
      </x:c>
      <x:c r="M24" s="25" t="n">
        <x:v>39540</x:v>
      </x:c>
      <x:c r="N24" s="25" t="n">
        <x:v>581.4705882352941</x:v>
      </x:c>
    </x:row>
    <x:row r="25" ht="22" customHeight="1">
      <x:c r="A25" s="19" t="str">
        <x:v>ST60</x:v>
      </x:c>
      <x:c r="B25" s="21" t="n">
        <x:v>3148</x:v>
      </x:c>
      <x:c r="C25" s="21" t="n">
        <x:v>3108</x:v>
      </x:c>
      <x:c r="D25" s="21" t="n">
        <x:v>40</x:v>
      </x:c>
      <x:c r="E25" s="21" t="n">
        <x:v>40</x:v>
      </x:c>
      <x:c r="F25" s="21" t="n">
        <x:v>38</x:v>
      </x:c>
      <x:c r="G25" s="21" t="n">
        <x:v>2</x:v>
      </x:c>
      <x:c r="H25" s="21" t="n">
        <x:v>3146</x:v>
      </x:c>
      <x:c r="I25" s="23" t="n">
        <x:v>0.9872935196950444</x:v>
      </x:c>
      <x:c r="J25" s="23" t="n">
        <x:v>0.012706480304955527</x:v>
      </x:c>
      <x:c r="K25" s="23" t="n">
        <x:v>0.0006353240152477764</x:v>
      </x:c>
      <x:c r="L25" s="23" t="n">
        <x:v>0.9993646759847522</x:v>
      </x:c>
      <x:c r="M25" s="25" t="n">
        <x:v>19515</x:v>
      </x:c>
      <x:c r="N25" s="25" t="n">
        <x:v>487.875</x:v>
      </x:c>
    </x:row>
    <x:row r="26" ht="22" customHeight="1">
      <x:c r="A26" s="19" t="str">
        <x:v>ST70</x:v>
      </x:c>
      <x:c r="B26" s="21" t="n">
        <x:v>3144</x:v>
      </x:c>
      <x:c r="C26" s="21" t="n">
        <x:v>3144</x:v>
      </x:c>
      <x:c r="D26" s="21" t="n">
        <x:v>0</x:v>
      </x:c>
      <x:c r="E26" s="21" t="n">
        <x:v>0</x:v>
      </x:c>
      <x:c r="F26" s="21" t="n">
        <x:v>0</x:v>
      </x:c>
      <x:c r="G26" s="21" t="n">
        <x:v>0</x:v>
      </x:c>
      <x:c r="H26" s="21" t="n">
        <x:v>3144</x:v>
      </x:c>
      <x:c r="I26" s="23" t="n">
        <x:v>1</x:v>
      </x:c>
      <x:c r="J26" s="23" t="n">
        <x:v>0</x:v>
      </x:c>
      <x:c r="K26" s="23" t="n">
        <x:v>0</x:v>
      </x:c>
      <x:c r="L26" s="23" t="n">
        <x:v>1</x:v>
      </x:c>
      <x:c r="M26" s="25" t="n">
        <x:v>0</x:v>
      </x:c>
      <x:c r="N26" s="25" t="n">
        <x:v>0</x:v>
      </x:c>
    </x:row>
    <x:row r="27" ht="22" customHeight="1"/>
    <x:row r="28" ht="22" customHeight="1"/>
    <x:row r="29" ht="22" customHeight="1"/>
    <x:row r="30" ht="22" customHeight="1"/>
    <x:row r="31" ht="44" customHeight="1">
      <x:c r="A31" s="9" t="str">
        <x:v>Axe</x:v>
      </x:c>
      <x:c r="B31" s="9" t="str">
        <x:v>Total 1er passage</x:v>
      </x:c>
      <x:c r="C31" s="9" t="str">
        <x:v>Bons 1er passage</x:v>
      </x:c>
      <x:c r="D31" s="9" t="str">
        <x:v>Échecs</x:v>
      </x:c>
      <x:c r="E31" s="9" t="str">
        <x:v>Retouches</x:v>
      </x:c>
      <x:c r="F31" s="9" t="str">
        <x:v>Bons après retouche</x:v>
      </x:c>
      <x:c r="G31" s="9" t="str">
        <x:v>Rebuts</x:v>
      </x:c>
      <x:c r="H31" s="9" t="str">
        <x:v>Bons finaux</x:v>
      </x:c>
      <x:c r="I31" s="9" t="str">
        <x:v>FPY</x:v>
      </x:c>
      <x:c r="J31" s="9" t="str">
        <x:v>Taux retouche</x:v>
      </x:c>
      <x:c r="K31" s="9" t="str">
        <x:v>Taux rebut</x:v>
      </x:c>
      <x:c r="L31" s="9" t="str">
        <x:v>Rendement final</x:v>
      </x:c>
      <x:c r="M31" s="9" t="str">
        <x:v>Temps retouche (s)</x:v>
      </x:c>
      <x:c r="N31" s="9" t="str">
        <x:v>Retouche moyenne (s)</x:v>
      </x:c>
    </x:row>
    <x:row r="32" ht="22" customHeight="1">
      <x:c r="A32" s="18" t="str">
        <x:v>EMA-120A</x:v>
      </x:c>
      <x:c r="B32" s="20" t="n">
        <x:v>12796</x:v>
      </x:c>
      <x:c r="C32" s="20" t="n">
        <x:v>12752</x:v>
      </x:c>
      <x:c r="D32" s="20" t="n">
        <x:v>44</x:v>
      </x:c>
      <x:c r="E32" s="20" t="n">
        <x:v>44</x:v>
      </x:c>
      <x:c r="F32" s="20" t="n">
        <x:v>41</x:v>
      </x:c>
      <x:c r="G32" s="20" t="n">
        <x:v>3</x:v>
      </x:c>
      <x:c r="H32" s="20" t="n">
        <x:v>12793</x:v>
      </x:c>
      <x:c r="I32" s="22" t="n">
        <x:v>0.9965614254454517</x:v>
      </x:c>
      <x:c r="J32" s="22" t="n">
        <x:v>0.0034385745545482964</x:v>
      </x:c>
      <x:c r="K32" s="22" t="n">
        <x:v>0.00023444826508283839</x:v>
      </x:c>
      <x:c r="L32" s="22" t="n">
        <x:v>0.9997655517349172</x:v>
      </x:c>
      <x:c r="M32" s="24" t="n">
        <x:v>23280</x:v>
      </x:c>
      <x:c r="N32" s="24" t="n">
        <x:v>529.0909090909091</x:v>
      </x:c>
    </x:row>
    <x:row r="33" ht="22" customHeight="1">
      <x:c r="A33" s="19" t="str">
        <x:v>EMA-120B</x:v>
      </x:c>
      <x:c r="B33" s="21" t="n">
        <x:v>7622</x:v>
      </x:c>
      <x:c r="C33" s="21" t="n">
        <x:v>7574</x:v>
      </x:c>
      <x:c r="D33" s="21" t="n">
        <x:v>48</x:v>
      </x:c>
      <x:c r="E33" s="21" t="n">
        <x:v>48</x:v>
      </x:c>
      <x:c r="F33" s="21" t="n">
        <x:v>47</x:v>
      </x:c>
      <x:c r="G33" s="21" t="n">
        <x:v>1</x:v>
      </x:c>
      <x:c r="H33" s="21" t="n">
        <x:v>7621</x:v>
      </x:c>
      <x:c r="I33" s="23" t="n">
        <x:v>0.993702440304382</x:v>
      </x:c>
      <x:c r="J33" s="23" t="n">
        <x:v>0.006297559695617948</x:v>
      </x:c>
      <x:c r="K33" s="23" t="n">
        <x:v>0.0001311991603253739</x:v>
      </x:c>
      <x:c r="L33" s="23" t="n">
        <x:v>0.9998688008396747</x:v>
      </x:c>
      <x:c r="M33" s="25" t="n">
        <x:v>25890</x:v>
      </x:c>
      <x:c r="N33" s="25" t="n">
        <x:v>539.375</x:v>
      </x:c>
    </x:row>
    <x:row r="34" ht="22" customHeight="1">
      <x:c r="A34" s="19" t="str">
        <x:v>EMA-120C</x:v>
      </x:c>
      <x:c r="B34" s="21" t="n">
        <x:v>5075</x:v>
      </x:c>
      <x:c r="C34" s="21" t="n">
        <x:v>5035</x:v>
      </x:c>
      <x:c r="D34" s="21" t="n">
        <x:v>40</x:v>
      </x:c>
      <x:c r="E34" s="21" t="n">
        <x:v>40</x:v>
      </x:c>
      <x:c r="F34" s="21" t="n">
        <x:v>38</x:v>
      </x:c>
      <x:c r="G34" s="21" t="n">
        <x:v>2</x:v>
      </x:c>
      <x:c r="H34" s="21" t="n">
        <x:v>5073</x:v>
      </x:c>
      <x:c r="I34" s="23" t="n">
        <x:v>0.9921182266009853</x:v>
      </x:c>
      <x:c r="J34" s="23" t="n">
        <x:v>0.007881773399014778</x:v>
      </x:c>
      <x:c r="K34" s="23" t="n">
        <x:v>0.00039408866995073894</x:v>
      </x:c>
      <x:c r="L34" s="23" t="n">
        <x:v>0.9996059113300493</x:v>
      </x:c>
      <x:c r="M34" s="25" t="n">
        <x:v>22080</x:v>
      </x:c>
      <x:c r="N34" s="25" t="n">
        <x:v>552</x:v>
      </x:c>
    </x:row>
    <x:row r="35" ht="22" customHeight="1"/>
    <x:row r="36" ht="22" customHeight="1"/>
    <x:row r="37" ht="22" customHeight="1"/>
    <x:row r="38" ht="22" customHeight="1"/>
    <x:row r="39" ht="44" customHeight="1">
      <x:c r="A39" s="9" t="str">
        <x:v>Code</x:v>
      </x:c>
      <x:c r="B39" s="9" t="str">
        <x:v>Catégorie</x:v>
      </x:c>
      <x:c r="C39" s="9" t="str">
        <x:v>Description</x:v>
      </x:c>
      <x:c r="D39" s="9" t="str">
        <x:v>Occurrences</x:v>
      </x:c>
      <x:c r="E39" s="9" t="str">
        <x:v>Part</x:v>
      </x:c>
      <x:c r="F39" s="9" t="str">
        <x:v>Cumul</x:v>
      </x:c>
      <x:c r="G39" s="9" t="str">
        <x:v>Temps retouche (s)</x:v>
      </x:c>
      <x:c r="H39" s="9" t="str">
        <x:v>Retouche moyenne (s)</x:v>
      </x:c>
      <x:c r="I39" s="9" t="str">
        <x:v>Rebuts</x:v>
      </x:c>
    </x:row>
    <x:row r="40" ht="22" customHeight="1">
      <x:c r="A40" s="18" t="str">
        <x:v>QL-C06</x:v>
      </x:c>
      <x:c r="B40" s="18" t="str">
        <x:v>FUNCTIONAL</x:v>
      </x:c>
      <x:c r="C40" s="18" t="str">
        <x:v>Réponse fonctionnelle hors spécification</x:v>
      </x:c>
      <x:c r="D40" s="20" t="n">
        <x:v>31</x:v>
      </x:c>
      <x:c r="E40" s="26" t="n">
        <x:v>0.23484848484848486</x:v>
      </x:c>
      <x:c r="F40" s="26" t="n">
        <x:v>0.23484848484848486</x:v>
      </x:c>
      <x:c r="G40" s="24" t="n">
        <x:v>19440</x:v>
      </x:c>
      <x:c r="H40" s="24" t="n">
        <x:v>627.0967741935484</x:v>
      </x:c>
      <x:c r="I40" s="24" t="n">
        <x:v>2</x:v>
      </x:c>
    </x:row>
    <x:row r="41" ht="22" customHeight="1">
      <x:c r="A41" s="19" t="str">
        <x:v>QL-C02</x:v>
      </x:c>
      <x:c r="B41" s="19" t="str">
        <x:v>ASSEMBLY</x:v>
      </x:c>
      <x:c r="C41" s="19" t="str">
        <x:v>Désalignement d'assemblage</x:v>
      </x:c>
      <x:c r="D41" s="21" t="n">
        <x:v>18</x:v>
      </x:c>
      <x:c r="E41" s="27" t="n">
        <x:v>0.13636363636363635</x:v>
      </x:c>
      <x:c r="F41" s="27" t="n">
        <x:v>0.3712121212121212</x:v>
      </x:c>
      <x:c r="G41" s="25" t="n">
        <x:v>9885</x:v>
      </x:c>
      <x:c r="H41" s="25" t="n">
        <x:v>549.1666666666666</x:v>
      </x:c>
      <x:c r="I41" s="25" t="n">
        <x:v>0</x:v>
      </x:c>
    </x:row>
    <x:row r="42" ht="22" customHeight="1">
      <x:c r="A42" s="19" t="str">
        <x:v>QL-C07</x:v>
      </x:c>
      <x:c r="B42" s="19" t="str">
        <x:v>FUNCTIONAL</x:v>
      </x:c>
      <x:c r="C42" s="19" t="str">
        <x:v>Signal capteur instable</x:v>
      </x:c>
      <x:c r="D42" s="21" t="n">
        <x:v>17</x:v>
      </x:c>
      <x:c r="E42" s="27" t="n">
        <x:v>0.12878787878787878</x:v>
      </x:c>
      <x:c r="F42" s="27" t="n">
        <x:v>0.5</x:v>
      </x:c>
      <x:c r="G42" s="25" t="n">
        <x:v>7695</x:v>
      </x:c>
      <x:c r="H42" s="25" t="n">
        <x:v>452.6470588235294</x:v>
      </x:c>
      <x:c r="I42" s="25" t="n">
        <x:v>1</x:v>
      </x:c>
    </x:row>
    <x:row r="43" ht="22" customHeight="1">
      <x:c r="A43" s="19" t="str">
        <x:v>QL-C04</x:v>
      </x:c>
      <x:c r="B43" s="19" t="str">
        <x:v>TORQUE</x:v>
      </x:c>
      <x:c r="C43" s="19" t="str">
        <x:v>Couple de serrage insuffisant</x:v>
      </x:c>
      <x:c r="D43" s="21" t="n">
        <x:v>16</x:v>
      </x:c>
      <x:c r="E43" s="27" t="n">
        <x:v>0.12121212121212122</x:v>
      </x:c>
      <x:c r="F43" s="27" t="n">
        <x:v>0.6212121212121212</x:v>
      </x:c>
      <x:c r="G43" s="25" t="n">
        <x:v>5790</x:v>
      </x:c>
      <x:c r="H43" s="25" t="n">
        <x:v>361.875</x:v>
      </x:c>
      <x:c r="I43" s="25" t="n">
        <x:v>1</x:v>
      </x:c>
    </x:row>
    <x:row r="44" ht="22" customHeight="1">
      <x:c r="A44" s="19" t="str">
        <x:v>QL-C08</x:v>
      </x:c>
      <x:c r="B44" s="19" t="str">
        <x:v>FUNCTIONAL</x:v>
      </x:c>
      <x:c r="C44" s="19" t="str">
        <x:v>Continuité électrique non conforme</x:v>
      </x:c>
      <x:c r="D44" s="21" t="n">
        <x:v>15</x:v>
      </x:c>
      <x:c r="E44" s="27" t="n">
        <x:v>0.11363636363636363</x:v>
      </x:c>
      <x:c r="F44" s="27" t="n">
        <x:v>0.7348484848484849</x:v>
      </x:c>
      <x:c r="G44" s="25" t="n">
        <x:v>7890</x:v>
      </x:c>
      <x:c r="H44" s="25" t="n">
        <x:v>526</x:v>
      </x:c>
      <x:c r="I44" s="25" t="n">
        <x:v>0</x:v>
      </x:c>
    </x:row>
    <x:row r="45" ht="22" customHeight="1">
      <x:c r="A45" s="19" t="str">
        <x:v>QL-C12</x:v>
      </x:c>
      <x:c r="B45" s="19" t="str">
        <x:v>DIMENSIONAL</x:v>
      </x:c>
      <x:c r="C45" s="19" t="str">
        <x:v>Interface dimensionnelle non conforme</x:v>
      </x:c>
      <x:c r="D45" s="21" t="n">
        <x:v>11</x:v>
      </x:c>
      <x:c r="E45" s="27" t="n">
        <x:v>0.08333333333333333</x:v>
      </x:c>
      <x:c r="F45" s="27" t="n">
        <x:v>0.8181818181818182</x:v>
      </x:c>
      <x:c r="G45" s="25" t="n">
        <x:v>7680</x:v>
      </x:c>
      <x:c r="H45" s="25" t="n">
        <x:v>698.1818181818181</x:v>
      </x:c>
      <x:c r="I45" s="25" t="n">
        <x:v>0</x:v>
      </x:c>
    </x:row>
    <x:row r="46" ht="22" customHeight="1">
      <x:c r="A46" s="19" t="str">
        <x:v>QL-C03</x:v>
      </x:c>
      <x:c r="B46" s="19" t="str">
        <x:v>DIMENSIONAL</x:v>
      </x:c>
      <x:c r="C46" s="19" t="str">
        <x:v>Cote arbre ou roulement hors tolérance</x:v>
      </x:c>
      <x:c r="D46" s="21" t="n">
        <x:v>10</x:v>
      </x:c>
      <x:c r="E46" s="27" t="n">
        <x:v>0.07575757575757576</x:v>
      </x:c>
      <x:c r="F46" s="27" t="n">
        <x:v>0.8939393939393939</x:v>
      </x:c>
      <x:c r="G46" s="25" t="n">
        <x:v>8745</x:v>
      </x:c>
      <x:c r="H46" s="25" t="n">
        <x:v>874.5</x:v>
      </x:c>
      <x:c r="I46" s="25" t="n">
        <x:v>1</x:v>
      </x:c>
    </x:row>
    <x:row r="47" ht="22" customHeight="1">
      <x:c r="A47" s="19" t="str">
        <x:v>QL-C11</x:v>
      </x:c>
      <x:c r="B47" s="19" t="str">
        <x:v>ASSEMBLY</x:v>
      </x:c>
      <x:c r="C47" s="19" t="str">
        <x:v>Endommagement visuel ou de surface</x:v>
      </x:c>
      <x:c r="D47" s="21" t="n">
        <x:v>7</x:v>
      </x:c>
      <x:c r="E47" s="27" t="n">
        <x:v>0.05303030303030303</x:v>
      </x:c>
      <x:c r="F47" s="27" t="n">
        <x:v>0.946969696969697</x:v>
      </x:c>
      <x:c r="G47" s="25" t="n">
        <x:v>1890</x:v>
      </x:c>
      <x:c r="H47" s="25" t="n">
        <x:v>270</x:v>
      </x:c>
      <x:c r="I47" s="25" t="n">
        <x:v>0</x:v>
      </x:c>
    </x:row>
    <x:row r="48" ht="22" customHeight="1">
      <x:c r="A48" s="19" t="str">
        <x:v>QL-C05</x:v>
      </x:c>
      <x:c r="B48" s="19" t="str">
        <x:v>TORQUE</x:v>
      </x:c>
      <x:c r="C48" s="19" t="str">
        <x:v>Couple de serrage excessif</x:v>
      </x:c>
      <x:c r="D48" s="21" t="n">
        <x:v>5</x:v>
      </x:c>
      <x:c r="E48" s="27" t="n">
        <x:v>0.03787878787878788</x:v>
      </x:c>
      <x:c r="F48" s="27" t="n">
        <x:v>0.9848484848484849</x:v>
      </x:c>
      <x:c r="G48" s="25" t="n">
        <x:v>1410</x:v>
      </x:c>
      <x:c r="H48" s="25" t="n">
        <x:v>282</x:v>
      </x:c>
      <x:c r="I48" s="25" t="n">
        <x:v>1</x:v>
      </x:c>
    </x:row>
    <x:row r="49" ht="22" customHeight="1">
      <x:c r="A49" s="19" t="str">
        <x:v>QL-C01</x:v>
      </x:c>
      <x:c r="B49" s="19" t="str">
        <x:v>ASSEMBLY</x:v>
      </x:c>
      <x:c r="C49" s="19" t="str">
        <x:v>Composant manquant ou incorrect</x:v>
      </x:c>
      <x:c r="D49" s="21" t="n">
        <x:v>2</x:v>
      </x:c>
      <x:c r="E49" s="27" t="n">
        <x:v>0.015151515151515152</x:v>
      </x:c>
      <x:c r="F49" s="27" t="n">
        <x:v>1</x:v>
      </x:c>
      <x:c r="G49" s="25" t="n">
        <x:v>825</x:v>
      </x:c>
      <x:c r="H49" s="25" t="n">
        <x:v>412.5</x:v>
      </x:c>
      <x:c r="I49" s="25" t="n">
        <x:v>0</x:v>
      </x:c>
    </x:row>
    <x:row r="50" ht="22" customHeight="1"/>
    <x:row r="51" ht="22" customHeight="1"/>
    <x:row r="52" ht="22" customHeight="1"/>
    <x:row r="53" ht="44" customHeight="1">
      <x:c r="A53" s="9" t="str">
        <x:v>Date</x:v>
      </x:c>
      <x:c r="B53" s="9" t="str">
        <x:v>Total 1er passage</x:v>
      </x:c>
      <x:c r="C53" s="9" t="str">
        <x:v>Bons 1er passage</x:v>
      </x:c>
      <x:c r="D53" s="9" t="str">
        <x:v>Échecs</x:v>
      </x:c>
      <x:c r="E53" s="9" t="str">
        <x:v>Retouches</x:v>
      </x:c>
      <x:c r="F53" s="9" t="str">
        <x:v>Bons après retouche</x:v>
      </x:c>
      <x:c r="G53" s="9" t="str">
        <x:v>Rebuts</x:v>
      </x:c>
      <x:c r="H53" s="9" t="str">
        <x:v>Bons finaux</x:v>
      </x:c>
      <x:c r="I53" s="9" t="str">
        <x:v>FPY</x:v>
      </x:c>
      <x:c r="J53" s="9" t="str">
        <x:v>Taux retouche</x:v>
      </x:c>
      <x:c r="K53" s="9" t="str">
        <x:v>Taux rebut</x:v>
      </x:c>
      <x:c r="L53" s="9" t="str">
        <x:v>Rendement final</x:v>
      </x:c>
      <x:c r="M53" s="9" t="str">
        <x:v>Temps retouche (s)</x:v>
      </x:c>
      <x:c r="N53" s="9" t="str">
        <x:v>Retouche moyenne (s)</x:v>
      </x:c>
    </x:row>
    <x:row r="54" ht="22" customHeight="1">
      <x:c r="A54" s="18" t="str">
        <x:v>2027-01-11</x:v>
      </x:c>
      <x:c r="B54" s="20" t="n">
        <x:v>1289</x:v>
      </x:c>
      <x:c r="C54" s="20" t="n">
        <x:v>1285</x:v>
      </x:c>
      <x:c r="D54" s="20" t="n">
        <x:v>4</x:v>
      </x:c>
      <x:c r="E54" s="20" t="n">
        <x:v>4</x:v>
      </x:c>
      <x:c r="F54" s="20" t="n">
        <x:v>3</x:v>
      </x:c>
      <x:c r="G54" s="20" t="n">
        <x:v>1</x:v>
      </x:c>
      <x:c r="H54" s="20" t="n">
        <x:v>1288</x:v>
      </x:c>
      <x:c r="I54" s="22" t="n">
        <x:v>0.9968968192397207</x:v>
      </x:c>
      <x:c r="J54" s="22" t="n">
        <x:v>0.0031031807602792862</x:v>
      </x:c>
      <x:c r="K54" s="22" t="n">
        <x:v>0.0007757951900698216</x:v>
      </x:c>
      <x:c r="L54" s="22" t="n">
        <x:v>0.9992242048099301</x:v>
      </x:c>
      <x:c r="M54" s="24" t="n">
        <x:v>1920</x:v>
      </x:c>
      <x:c r="N54" s="24" t="n">
        <x:v>480</x:v>
      </x:c>
    </x:row>
    <x:row r="55" ht="22" customHeight="1">
      <x:c r="A55" s="19" t="str">
        <x:v>2027-01-12</x:v>
      </x:c>
      <x:c r="B55" s="21" t="n">
        <x:v>1269</x:v>
      </x:c>
      <x:c r="C55" s="21" t="n">
        <x:v>1263</x:v>
      </x:c>
      <x:c r="D55" s="21" t="n">
        <x:v>6</x:v>
      </x:c>
      <x:c r="E55" s="21" t="n">
        <x:v>6</x:v>
      </x:c>
      <x:c r="F55" s="21" t="n">
        <x:v>6</x:v>
      </x:c>
      <x:c r="G55" s="21" t="n">
        <x:v>0</x:v>
      </x:c>
      <x:c r="H55" s="21" t="n">
        <x:v>1269</x:v>
      </x:c>
      <x:c r="I55" s="23" t="n">
        <x:v>0.9952718676122931</x:v>
      </x:c>
      <x:c r="J55" s="23" t="n">
        <x:v>0.004728132387706856</x:v>
      </x:c>
      <x:c r="K55" s="23" t="n">
        <x:v>0</x:v>
      </x:c>
      <x:c r="L55" s="23" t="n">
        <x:v>1</x:v>
      </x:c>
      <x:c r="M55" s="25" t="n">
        <x:v>2865</x:v>
      </x:c>
      <x:c r="N55" s="25" t="n">
        <x:v>477.5</x:v>
      </x:c>
    </x:row>
    <x:row r="56" ht="22" customHeight="1">
      <x:c r="A56" s="19" t="str">
        <x:v>2027-01-13</x:v>
      </x:c>
      <x:c r="B56" s="21" t="n">
        <x:v>1297</x:v>
      </x:c>
      <x:c r="C56" s="21" t="n">
        <x:v>1291</x:v>
      </x:c>
      <x:c r="D56" s="21" t="n">
        <x:v>6</x:v>
      </x:c>
      <x:c r="E56" s="21" t="n">
        <x:v>6</x:v>
      </x:c>
      <x:c r="F56" s="21" t="n">
        <x:v>6</x:v>
      </x:c>
      <x:c r="G56" s="21" t="n">
        <x:v>0</x:v>
      </x:c>
      <x:c r="H56" s="21" t="n">
        <x:v>1297</x:v>
      </x:c>
      <x:c r="I56" s="23" t="n">
        <x:v>0.9953739398612182</x:v>
      </x:c>
      <x:c r="J56" s="23" t="n">
        <x:v>0.004626060138781804</x:v>
      </x:c>
      <x:c r="K56" s="23" t="n">
        <x:v>0</x:v>
      </x:c>
      <x:c r="L56" s="23" t="n">
        <x:v>1</x:v>
      </x:c>
      <x:c r="M56" s="25" t="n">
        <x:v>3075</x:v>
      </x:c>
      <x:c r="N56" s="25" t="n">
        <x:v>512.5</x:v>
      </x:c>
    </x:row>
    <x:row r="57" ht="22" customHeight="1">
      <x:c r="A57" s="19" t="str">
        <x:v>2027-01-14</x:v>
      </x:c>
      <x:c r="B57" s="21" t="n">
        <x:v>1260</x:v>
      </x:c>
      <x:c r="C57" s="21" t="n">
        <x:v>1252</x:v>
      </x:c>
      <x:c r="D57" s="21" t="n">
        <x:v>8</x:v>
      </x:c>
      <x:c r="E57" s="21" t="n">
        <x:v>8</x:v>
      </x:c>
      <x:c r="F57" s="21" t="n">
        <x:v>8</x:v>
      </x:c>
      <x:c r="G57" s="21" t="n">
        <x:v>0</x:v>
      </x:c>
      <x:c r="H57" s="21" t="n">
        <x:v>1260</x:v>
      </x:c>
      <x:c r="I57" s="23" t="n">
        <x:v>0.9936507936507937</x:v>
      </x:c>
      <x:c r="J57" s="23" t="n">
        <x:v>0.006349206349206349</x:v>
      </x:c>
      <x:c r="K57" s="23" t="n">
        <x:v>0</x:v>
      </x:c>
      <x:c r="L57" s="23" t="n">
        <x:v>1</x:v>
      </x:c>
      <x:c r="M57" s="25" t="n">
        <x:v>5100</x:v>
      </x:c>
      <x:c r="N57" s="25" t="n">
        <x:v>637.5</x:v>
      </x:c>
    </x:row>
    <x:row r="58" ht="22" customHeight="1">
      <x:c r="A58" s="19" t="str">
        <x:v>2027-01-15</x:v>
      </x:c>
      <x:c r="B58" s="21" t="n">
        <x:v>1276</x:v>
      </x:c>
      <x:c r="C58" s="21" t="n">
        <x:v>1267</x:v>
      </x:c>
      <x:c r="D58" s="21" t="n">
        <x:v>9</x:v>
      </x:c>
      <x:c r="E58" s="21" t="n">
        <x:v>9</x:v>
      </x:c>
      <x:c r="F58" s="21" t="n">
        <x:v>9</x:v>
      </x:c>
      <x:c r="G58" s="21" t="n">
        <x:v>0</x:v>
      </x:c>
      <x:c r="H58" s="21" t="n">
        <x:v>1276</x:v>
      </x:c>
      <x:c r="I58" s="23" t="n">
        <x:v>0.9929467084639498</x:v>
      </x:c>
      <x:c r="J58" s="23" t="n">
        <x:v>0.007053291536050157</x:v>
      </x:c>
      <x:c r="K58" s="23" t="n">
        <x:v>0</x:v>
      </x:c>
      <x:c r="L58" s="23" t="n">
        <x:v>1</x:v>
      </x:c>
      <x:c r="M58" s="25" t="n">
        <x:v>4305</x:v>
      </x:c>
      <x:c r="N58" s="25" t="n">
        <x:v>478.3333333333333</x:v>
      </x:c>
    </x:row>
    <x:row r="59" ht="22" customHeight="1">
      <x:c r="A59" s="19" t="str">
        <x:v>2027-01-18</x:v>
      </x:c>
      <x:c r="B59" s="21" t="n">
        <x:v>1273</x:v>
      </x:c>
      <x:c r="C59" s="21" t="n">
        <x:v>1261</x:v>
      </x:c>
      <x:c r="D59" s="21" t="n">
        <x:v>12</x:v>
      </x:c>
      <x:c r="E59" s="21" t="n">
        <x:v>12</x:v>
      </x:c>
      <x:c r="F59" s="21" t="n">
        <x:v>11</x:v>
      </x:c>
      <x:c r="G59" s="21" t="n">
        <x:v>1</x:v>
      </x:c>
      <x:c r="H59" s="21" t="n">
        <x:v>1272</x:v>
      </x:c>
      <x:c r="I59" s="23" t="n">
        <x:v>0.99057344854674</x:v>
      </x:c>
      <x:c r="J59" s="23" t="n">
        <x:v>0.009426551453260016</x:v>
      </x:c>
      <x:c r="K59" s="23" t="n">
        <x:v>0.0007855459544383347</x:v>
      </x:c>
      <x:c r="L59" s="23" t="n">
        <x:v>0.9992144540455616</x:v>
      </x:c>
      <x:c r="M59" s="25" t="n">
        <x:v>5580</x:v>
      </x:c>
      <x:c r="N59" s="25" t="n">
        <x:v>465</x:v>
      </x:c>
    </x:row>
    <x:row r="60" ht="22" customHeight="1">
      <x:c r="A60" s="19" t="str">
        <x:v>2027-01-19</x:v>
      </x:c>
      <x:c r="B60" s="21" t="n">
        <x:v>1285</x:v>
      </x:c>
      <x:c r="C60" s="21" t="n">
        <x:v>1277</x:v>
      </x:c>
      <x:c r="D60" s="21" t="n">
        <x:v>8</x:v>
      </x:c>
      <x:c r="E60" s="21" t="n">
        <x:v>8</x:v>
      </x:c>
      <x:c r="F60" s="21" t="n">
        <x:v>7</x:v>
      </x:c>
      <x:c r="G60" s="21" t="n">
        <x:v>1</x:v>
      </x:c>
      <x:c r="H60" s="21" t="n">
        <x:v>1284</x:v>
      </x:c>
      <x:c r="I60" s="23" t="n">
        <x:v>0.9937743190661479</x:v>
      </x:c>
      <x:c r="J60" s="23" t="n">
        <x:v>0.0062256809338521405</x:v>
      </x:c>
      <x:c r="K60" s="23" t="n">
        <x:v>0.0007782101167315176</x:v>
      </x:c>
      <x:c r="L60" s="23" t="n">
        <x:v>0.9992217898832685</x:v>
      </x:c>
      <x:c r="M60" s="25" t="n">
        <x:v>4575</x:v>
      </x:c>
      <x:c r="N60" s="25" t="n">
        <x:v>571.875</x:v>
      </x:c>
    </x:row>
    <x:row r="61" ht="22" customHeight="1">
      <x:c r="A61" s="19" t="str">
        <x:v>2027-01-20</x:v>
      </x:c>
      <x:c r="B61" s="21" t="n">
        <x:v>1264</x:v>
      </x:c>
      <x:c r="C61" s="21" t="n">
        <x:v>1256</x:v>
      </x:c>
      <x:c r="D61" s="21" t="n">
        <x:v>8</x:v>
      </x:c>
      <x:c r="E61" s="21" t="n">
        <x:v>8</x:v>
      </x:c>
      <x:c r="F61" s="21" t="n">
        <x:v>7</x:v>
      </x:c>
      <x:c r="G61" s="21" t="n">
        <x:v>1</x:v>
      </x:c>
      <x:c r="H61" s="21" t="n">
        <x:v>1263</x:v>
      </x:c>
      <x:c r="I61" s="23" t="n">
        <x:v>0.9936708860759493</x:v>
      </x:c>
      <x:c r="J61" s="23" t="n">
        <x:v>0.006329113924050633</x:v>
      </x:c>
      <x:c r="K61" s="23" t="n">
        <x:v>0.0007911392405063291</x:v>
      </x:c>
      <x:c r="L61" s="23" t="n">
        <x:v>0.9992088607594937</x:v>
      </x:c>
      <x:c r="M61" s="25" t="n">
        <x:v>3555</x:v>
      </x:c>
      <x:c r="N61" s="25" t="n">
        <x:v>444.375</x:v>
      </x:c>
    </x:row>
    <x:row r="62" ht="22" customHeight="1">
      <x:c r="A62" s="19" t="str">
        <x:v>2027-01-21</x:v>
      </x:c>
      <x:c r="B62" s="21" t="n">
        <x:v>1267</x:v>
      </x:c>
      <x:c r="C62" s="21" t="n">
        <x:v>1262</x:v>
      </x:c>
      <x:c r="D62" s="21" t="n">
        <x:v>5</x:v>
      </x:c>
      <x:c r="E62" s="21" t="n">
        <x:v>5</x:v>
      </x:c>
      <x:c r="F62" s="21" t="n">
        <x:v>4</x:v>
      </x:c>
      <x:c r="G62" s="21" t="n">
        <x:v>1</x:v>
      </x:c>
      <x:c r="H62" s="21" t="n">
        <x:v>1266</x:v>
      </x:c>
      <x:c r="I62" s="23" t="n">
        <x:v>0.9960536700868192</x:v>
      </x:c>
      <x:c r="J62" s="23" t="n">
        <x:v>0.003946329913180742</x:v>
      </x:c>
      <x:c r="K62" s="23" t="n">
        <x:v>0.0007892659826361484</x:v>
      </x:c>
      <x:c r="L62" s="23" t="n">
        <x:v>0.9992107340173638</x:v>
      </x:c>
      <x:c r="M62" s="25" t="n">
        <x:v>3075</x:v>
      </x:c>
      <x:c r="N62" s="25" t="n">
        <x:v>615</x:v>
      </x:c>
    </x:row>
    <x:row r="63" ht="22" customHeight="1">
      <x:c r="A63" s="19" t="str">
        <x:v>2027-01-22</x:v>
      </x:c>
      <x:c r="B63" s="21" t="n">
        <x:v>1261</x:v>
      </x:c>
      <x:c r="C63" s="21" t="n">
        <x:v>1256</x:v>
      </x:c>
      <x:c r="D63" s="21" t="n">
        <x:v>5</x:v>
      </x:c>
      <x:c r="E63" s="21" t="n">
        <x:v>5</x:v>
      </x:c>
      <x:c r="F63" s="21" t="n">
        <x:v>5</x:v>
      </x:c>
      <x:c r="G63" s="21" t="n">
        <x:v>0</x:v>
      </x:c>
      <x:c r="H63" s="21" t="n">
        <x:v>1261</x:v>
      </x:c>
      <x:c r="I63" s="23" t="n">
        <x:v>0.9960348929421095</x:v>
      </x:c>
      <x:c r="J63" s="23" t="n">
        <x:v>0.003965107057890563</x:v>
      </x:c>
      <x:c r="K63" s="23" t="n">
        <x:v>0</x:v>
      </x:c>
      <x:c r="L63" s="23" t="n">
        <x:v>1</x:v>
      </x:c>
      <x:c r="M63" s="25" t="n">
        <x:v>3030</x:v>
      </x:c>
      <x:c r="N63" s="25" t="n">
        <x:v>606</x:v>
      </x:c>
    </x:row>
    <x:row r="64" ht="22" customHeight="1">
      <x:c r="A64" s="19" t="str">
        <x:v>2027-01-25</x:v>
      </x:c>
      <x:c r="B64" s="21" t="n">
        <x:v>1289</x:v>
      </x:c>
      <x:c r="C64" s="21" t="n">
        <x:v>1284</x:v>
      </x:c>
      <x:c r="D64" s="21" t="n">
        <x:v>5</x:v>
      </x:c>
      <x:c r="E64" s="21" t="n">
        <x:v>5</x:v>
      </x:c>
      <x:c r="F64" s="21" t="n">
        <x:v>5</x:v>
      </x:c>
      <x:c r="G64" s="21" t="n">
        <x:v>0</x:v>
      </x:c>
      <x:c r="H64" s="21" t="n">
        <x:v>1289</x:v>
      </x:c>
      <x:c r="I64" s="23" t="n">
        <x:v>0.9961210240496509</x:v>
      </x:c>
      <x:c r="J64" s="23" t="n">
        <x:v>0.003878975950349108</x:v>
      </x:c>
      <x:c r="K64" s="23" t="n">
        <x:v>0</x:v>
      </x:c>
      <x:c r="L64" s="23" t="n">
        <x:v>1</x:v>
      </x:c>
      <x:c r="M64" s="25" t="n">
        <x:v>4020</x:v>
      </x:c>
      <x:c r="N64" s="25" t="n">
        <x:v>804</x:v>
      </x:c>
    </x:row>
    <x:row r="65" ht="22" customHeight="1">
      <x:c r="A65" s="19" t="str">
        <x:v>2027-01-26</x:v>
      </x:c>
      <x:c r="B65" s="21" t="n">
        <x:v>1271</x:v>
      </x:c>
      <x:c r="C65" s="21" t="n">
        <x:v>1266</x:v>
      </x:c>
      <x:c r="D65" s="21" t="n">
        <x:v>5</x:v>
      </x:c>
      <x:c r="E65" s="21" t="n">
        <x:v>5</x:v>
      </x:c>
      <x:c r="F65" s="21" t="n">
        <x:v>5</x:v>
      </x:c>
      <x:c r="G65" s="21" t="n">
        <x:v>0</x:v>
      </x:c>
      <x:c r="H65" s="21" t="n">
        <x:v>1271</x:v>
      </x:c>
      <x:c r="I65" s="23" t="n">
        <x:v>0.996066089693155</x:v>
      </x:c>
      <x:c r="J65" s="23" t="n">
        <x:v>0.003933910306845004</x:v>
      </x:c>
      <x:c r="K65" s="23" t="n">
        <x:v>0</x:v>
      </x:c>
      <x:c r="L65" s="23" t="n">
        <x:v>1</x:v>
      </x:c>
      <x:c r="M65" s="25" t="n">
        <x:v>2670</x:v>
      </x:c>
      <x:c r="N65" s="25" t="n">
        <x:v>534</x:v>
      </x:c>
    </x:row>
    <x:row r="66" ht="22" customHeight="1">
      <x:c r="A66" s="19" t="str">
        <x:v>2027-01-27</x:v>
      </x:c>
      <x:c r="B66" s="21" t="n">
        <x:v>1309</x:v>
      </x:c>
      <x:c r="C66" s="21" t="n">
        <x:v>1306</x:v>
      </x:c>
      <x:c r="D66" s="21" t="n">
        <x:v>3</x:v>
      </x:c>
      <x:c r="E66" s="21" t="n">
        <x:v>3</x:v>
      </x:c>
      <x:c r="F66" s="21" t="n">
        <x:v>3</x:v>
      </x:c>
      <x:c r="G66" s="21" t="n">
        <x:v>0</x:v>
      </x:c>
      <x:c r="H66" s="21" t="n">
        <x:v>1309</x:v>
      </x:c>
      <x:c r="I66" s="23" t="n">
        <x:v>0.9977081741787625</x:v>
      </x:c>
      <x:c r="J66" s="23" t="n">
        <x:v>0.002291825821237586</x:v>
      </x:c>
      <x:c r="K66" s="23" t="n">
        <x:v>0</x:v>
      </x:c>
      <x:c r="L66" s="23" t="n">
        <x:v>1</x:v>
      </x:c>
      <x:c r="M66" s="25" t="n">
        <x:v>1620</x:v>
      </x:c>
      <x:c r="N66" s="25" t="n">
        <x:v>540</x:v>
      </x:c>
    </x:row>
    <x:row r="67" ht="22" customHeight="1">
      <x:c r="A67" s="19" t="str">
        <x:v>2027-01-28</x:v>
      </x:c>
      <x:c r="B67" s="21" t="n">
        <x:v>1279</x:v>
      </x:c>
      <x:c r="C67" s="21" t="n">
        <x:v>1276</x:v>
      </x:c>
      <x:c r="D67" s="21" t="n">
        <x:v>3</x:v>
      </x:c>
      <x:c r="E67" s="21" t="n">
        <x:v>3</x:v>
      </x:c>
      <x:c r="F67" s="21" t="n">
        <x:v>3</x:v>
      </x:c>
      <x:c r="G67" s="21" t="n">
        <x:v>0</x:v>
      </x:c>
      <x:c r="H67" s="21" t="n">
        <x:v>1279</x:v>
      </x:c>
      <x:c r="I67" s="23" t="n">
        <x:v>0.9976544175136826</x:v>
      </x:c>
      <x:c r="J67" s="23" t="n">
        <x:v>0.0023455824863174357</x:v>
      </x:c>
      <x:c r="K67" s="23" t="n">
        <x:v>0</x:v>
      </x:c>
      <x:c r="L67" s="23" t="n">
        <x:v>1</x:v>
      </x:c>
      <x:c r="M67" s="25" t="n">
        <x:v>1575</x:v>
      </x:c>
      <x:c r="N67" s="25" t="n">
        <x:v>525</x:v>
      </x:c>
    </x:row>
    <x:row r="68" ht="22" customHeight="1">
      <x:c r="A68" s="19" t="str">
        <x:v>2027-01-29</x:v>
      </x:c>
      <x:c r="B68" s="21" t="n">
        <x:v>1282</x:v>
      </x:c>
      <x:c r="C68" s="21" t="n">
        <x:v>1274</x:v>
      </x:c>
      <x:c r="D68" s="21" t="n">
        <x:v>8</x:v>
      </x:c>
      <x:c r="E68" s="21" t="n">
        <x:v>8</x:v>
      </x:c>
      <x:c r="F68" s="21" t="n">
        <x:v>7</x:v>
      </x:c>
      <x:c r="G68" s="21" t="n">
        <x:v>1</x:v>
      </x:c>
      <x:c r="H68" s="21" t="n">
        <x:v>1281</x:v>
      </x:c>
      <x:c r="I68" s="23" t="n">
        <x:v>0.9937597503900156</x:v>
      </x:c>
      <x:c r="J68" s="23" t="n">
        <x:v>0.0062402496099844</x:v>
      </x:c>
      <x:c r="K68" s="23" t="n">
        <x:v>0.00078003120124805</x:v>
      </x:c>
      <x:c r="L68" s="23" t="n">
        <x:v>0.999219968798752</x:v>
      </x:c>
      <x:c r="M68" s="25" t="n">
        <x:v>4365</x:v>
      </x:c>
      <x:c r="N68" s="25" t="n">
        <x:v>545.625</x:v>
      </x:c>
    </x:row>
    <x:row r="69" ht="22" customHeight="1">
      <x:c r="A69" s="19" t="str">
        <x:v>2027-02-01</x:v>
      </x:c>
      <x:c r="B69" s="21" t="n">
        <x:v>1245</x:v>
      </x:c>
      <x:c r="C69" s="21" t="n">
        <x:v>1238</x:v>
      </x:c>
      <x:c r="D69" s="21" t="n">
        <x:v>7</x:v>
      </x:c>
      <x:c r="E69" s="21" t="n">
        <x:v>7</x:v>
      </x:c>
      <x:c r="F69" s="21" t="n">
        <x:v>7</x:v>
      </x:c>
      <x:c r="G69" s="21" t="n">
        <x:v>0</x:v>
      </x:c>
      <x:c r="H69" s="21" t="n">
        <x:v>1245</x:v>
      </x:c>
      <x:c r="I69" s="23" t="n">
        <x:v>0.9943775100401606</x:v>
      </x:c>
      <x:c r="J69" s="23" t="n">
        <x:v>0.005622489959839358</x:v>
      </x:c>
      <x:c r="K69" s="23" t="n">
        <x:v>0</x:v>
      </x:c>
      <x:c r="L69" s="23" t="n">
        <x:v>1</x:v>
      </x:c>
      <x:c r="M69" s="25" t="n">
        <x:v>3630</x:v>
      </x:c>
      <x:c r="N69" s="25" t="n">
        <x:v>518.5714285714286</x:v>
      </x:c>
    </x:row>
    <x:row r="70" ht="22" customHeight="1">
      <x:c r="A70" s="19" t="str">
        <x:v>2027-02-02</x:v>
      </x:c>
      <x:c r="B70" s="21" t="n">
        <x:v>1298</x:v>
      </x:c>
      <x:c r="C70" s="21" t="n">
        <x:v>1294</x:v>
      </x:c>
      <x:c r="D70" s="21" t="n">
        <x:v>4</x:v>
      </x:c>
      <x:c r="E70" s="21" t="n">
        <x:v>4</x:v>
      </x:c>
      <x:c r="F70" s="21" t="n">
        <x:v>4</x:v>
      </x:c>
      <x:c r="G70" s="21" t="n">
        <x:v>0</x:v>
      </x:c>
      <x:c r="H70" s="21" t="n">
        <x:v>1298</x:v>
      </x:c>
      <x:c r="I70" s="23" t="n">
        <x:v>0.9969183359013868</x:v>
      </x:c>
      <x:c r="J70" s="23" t="n">
        <x:v>0.0030816640986132513</x:v>
      </x:c>
      <x:c r="K70" s="23" t="n">
        <x:v>0</x:v>
      </x:c>
      <x:c r="L70" s="23" t="n">
        <x:v>1</x:v>
      </x:c>
      <x:c r="M70" s="25" t="n">
        <x:v>1785</x:v>
      </x:c>
      <x:c r="N70" s="25" t="n">
        <x:v>446.25</x:v>
      </x:c>
    </x:row>
    <x:row r="71" ht="22" customHeight="1">
      <x:c r="A71" s="19" t="str">
        <x:v>2027-02-03</x:v>
      </x:c>
      <x:c r="B71" s="21" t="n">
        <x:v>1275</x:v>
      </x:c>
      <x:c r="C71" s="21" t="n">
        <x:v>1269</x:v>
      </x:c>
      <x:c r="D71" s="21" t="n">
        <x:v>6</x:v>
      </x:c>
      <x:c r="E71" s="21" t="n">
        <x:v>6</x:v>
      </x:c>
      <x:c r="F71" s="21" t="n">
        <x:v>6</x:v>
      </x:c>
      <x:c r="G71" s="21" t="n">
        <x:v>0</x:v>
      </x:c>
      <x:c r="H71" s="21" t="n">
        <x:v>1275</x:v>
      </x:c>
      <x:c r="I71" s="23" t="n">
        <x:v>0.9952941176470588</x:v>
      </x:c>
      <x:c r="J71" s="23" t="n">
        <x:v>0.004705882352941176</x:v>
      </x:c>
      <x:c r="K71" s="23" t="n">
        <x:v>0</x:v>
      </x:c>
      <x:c r="L71" s="23" t="n">
        <x:v>1</x:v>
      </x:c>
      <x:c r="M71" s="25" t="n">
        <x:v>2640</x:v>
      </x:c>
      <x:c r="N71" s="25" t="n">
        <x:v>440</x:v>
      </x:c>
    </x:row>
    <x:row r="72" ht="22" customHeight="1">
      <x:c r="A72" s="19" t="str">
        <x:v>2027-02-04</x:v>
      </x:c>
      <x:c r="B72" s="21" t="n">
        <x:v>1280</x:v>
      </x:c>
      <x:c r="C72" s="21" t="n">
        <x:v>1272</x:v>
      </x:c>
      <x:c r="D72" s="21" t="n">
        <x:v>8</x:v>
      </x:c>
      <x:c r="E72" s="21" t="n">
        <x:v>8</x:v>
      </x:c>
      <x:c r="F72" s="21" t="n">
        <x:v>8</x:v>
      </x:c>
      <x:c r="G72" s="21" t="n">
        <x:v>0</x:v>
      </x:c>
      <x:c r="H72" s="21" t="n">
        <x:v>1280</x:v>
      </x:c>
      <x:c r="I72" s="23" t="n">
        <x:v>0.99375</x:v>
      </x:c>
      <x:c r="J72" s="23" t="n">
        <x:v>0.00625</x:v>
      </x:c>
      <x:c r="K72" s="23" t="n">
        <x:v>0</x:v>
      </x:c>
      <x:c r="L72" s="23" t="n">
        <x:v>1</x:v>
      </x:c>
      <x:c r="M72" s="25" t="n">
        <x:v>4830</x:v>
      </x:c>
      <x:c r="N72" s="25" t="n">
        <x:v>603.75</x:v>
      </x:c>
    </x:row>
    <x:row r="73" ht="22" customHeight="1">
      <x:c r="A73" s="19" t="str">
        <x:v>2027-02-05</x:v>
      </x:c>
      <x:c r="B73" s="21" t="n">
        <x:v>1224</x:v>
      </x:c>
      <x:c r="C73" s="21" t="n">
        <x:v>1212</x:v>
      </x:c>
      <x:c r="D73" s="21" t="n">
        <x:v>12</x:v>
      </x:c>
      <x:c r="E73" s="21" t="n">
        <x:v>12</x:v>
      </x:c>
      <x:c r="F73" s="21" t="n">
        <x:v>12</x:v>
      </x:c>
      <x:c r="G73" s="21" t="n">
        <x:v>0</x:v>
      </x:c>
      <x:c r="H73" s="21" t="n">
        <x:v>1224</x:v>
      </x:c>
      <x:c r="I73" s="23" t="n">
        <x:v>0.9901960784313726</x:v>
      </x:c>
      <x:c r="J73" s="23" t="n">
        <x:v>0.00980392156862745</x:v>
      </x:c>
      <x:c r="K73" s="23" t="n">
        <x:v>0</x:v>
      </x:c>
      <x:c r="L73" s="23" t="n">
        <x:v>1</x:v>
      </x:c>
      <x:c r="M73" s="25" t="n">
        <x:v>7035</x:v>
      </x:c>
      <x:c r="N73" s="25" t="n">
        <x:v>586.25</x:v>
      </x:c>
    </x:row>
    <x:row r="74" ht="22" customHeight="1"/>
    <x:row r="75" ht="22" customHeight="1"/>
    <x:row r="76" ht="22" customHeight="1"/>
    <x:row r="77" ht="22" customHeight="1">
      <x:c r="A77" s="9" t="str">
        <x:v>Convention</x:v>
      </x:c>
      <x:c r="B77" s="9" t="str">
        <x:v>Formule / choix</x:v>
      </x:c>
      <x:c r="C77" s="9" t="str">
        <x:v>Pourquoi</x:v>
      </x:c>
      <x:c r="D77" s="9" t="str">
        <x:v>Précision</x:v>
      </x:c>
      <x:c r="F77" s="9" t="str">
        <x:v>Fichier</x:v>
      </x:c>
      <x:c r="G77" s="9" t="str">
        <x:v>Statut</x:v>
      </x:c>
      <x:c r="H77" s="9" t="str">
        <x:v>SHA-256</x:v>
      </x:c>
      <x:c r="I77" s="9" t="str">
        <x:v>Rôle</x:v>
      </x:c>
    </x:row>
    <x:row r="78" ht="38" customHeight="1">
      <x:c r="A78" s="28" t="str">
        <x:v>FPY</x:v>
      </x:c>
      <x:c r="B78" s="28" t="str">
        <x:v>Bon au 1er passage / total 1er passage</x:v>
      </x:c>
      <x:c r="C78" s="28" t="str">
        <x:v>Mesure la qualité sans retouche</x:v>
      </x:c>
      <x:c r="D78" s="28" t="str">
        <x:v>Un produit bon après retouche reste hors FPY</x:v>
      </x:c>
      <x:c r="F78" s="12" t="str">
        <x:v>production.csv</x:v>
      </x:c>
      <x:c r="G78" s="30" t="str">
        <x:v>PASS</x:v>
      </x:c>
      <x:c r="H78" s="12" t="str">
        <x:v>9ea5cfff8bb382759bff0dedc4c85eccb2fa197b40844bce1e6eed8b4c426508</x:v>
      </x:c>
      <x:c r="I78" s="12" t="str">
        <x:v>Passage, poste, variante et résultat process</x:v>
      </x:c>
    </x:row>
    <x:row r="79" ht="38" customHeight="1">
      <x:c r="A79" s="29" t="str">
        <x:v>Taux de retouche</x:v>
      </x:c>
      <x:c r="B79" s="29" t="str">
        <x:v>Retouches requises / total 1er passage</x:v>
      </x:c>
      <x:c r="C79" s="29" t="str">
        <x:v>Mesure la charge de récupération</x:v>
      </x:c>
      <x:c r="D79" s="29" t="str">
        <x:v>Même base que le FPY</x:v>
      </x:c>
      <x:c r="F79" s="13" t="str">
        <x:v>quality.csv</x:v>
      </x:c>
      <x:c r="G79" s="31" t="str">
        <x:v>PASS</x:v>
      </x:c>
      <x:c r="H79" s="13" t="str">
        <x:v>6533b1438c24fb3d7ea3889d776a3ae2b490fe69035a30e7c87487f53ad8d60e</x:v>
      </x:c>
      <x:c r="I79" s="13" t="str">
        <x:v>Résultat qualité, défaut, retouche et rebut</x:v>
      </x:c>
    </x:row>
    <x:row r="80" ht="38" customHeight="1">
      <x:c r="A80" s="29" t="str">
        <x:v>Taux de rebut</x:v>
      </x:c>
      <x:c r="B80" s="29" t="str">
        <x:v>Rebuts finaux / total 1er passage</x:v>
      </x:c>
      <x:c r="C80" s="29" t="str">
        <x:v>Mesure la perte irréversible</x:v>
      </x:c>
      <x:c r="D80" s="29" t="str">
        <x:v>Le rebut est rattaché au poste du défaut initial</x:v>
      </x:c>
      <x:c r="F80" s="13" t="str">
        <x:v>validation_summary.json</x:v>
      </x:c>
      <x:c r="G80" s="31" t="str">
        <x:v>PASS</x:v>
      </x:c>
      <x:c r="H80" s="13" t="str">
        <x:v>8b5ca71730f86aaba187b63d260688c6c847f83e2292dec89b4ae8b2d7330541</x:v>
      </x:c>
      <x:c r="I80" s="13" t="str">
        <x:v>39 contrôles J06 validés</x:v>
      </x:c>
    </x:row>
    <x:row r="81" ht="38" customHeight="1">
      <x:c r="A81" s="29" t="str">
        <x:v>Pareto</x:v>
      </x:c>
      <x:c r="B81" s="29" t="str">
        <x:v>Défauts du 1er passage uniquement</x:v>
      </x:c>
      <x:c r="C81" s="29" t="str">
        <x:v>Évite le double comptage</x:v>
      </x:c>
      <x:c r="D81" s="29" t="str">
        <x:v>Un défaut persistant au 2e passage n'est pas recompté</x:v>
      </x:c>
    </x:row>
    <x:row r="82" ht="38" customHeight="1">
      <x:c r="A82" s="29" t="str">
        <x:v>Station</x:v>
      </x:c>
      <x:c r="B82" s="29" t="str">
        <x:v>Poste de détection</x:v>
      </x:c>
      <x:c r="C82" s="29" t="str">
        <x:v>Base stable et complète</x:v>
      </x:c>
      <x:c r="D82" s="29" t="str">
        <x:v>L'origine du défaut peut être inconnue</x:v>
      </x:c>
    </x:row>
    <x:row r="83" ht="22" customHeight="1"/>
    <x:row r="84" ht="22" customHeight="1"/>
  </x:sheetData>
  <x:pageMargins left="0.7" right="0.7" top="0.75" bottom="0.75" header="0.3" footer="0.3"/>
</x:worksheet>
</file>