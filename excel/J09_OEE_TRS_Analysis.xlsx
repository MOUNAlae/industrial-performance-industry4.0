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124c5b8e0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ff5974cfe1534b8c"/>
    <x:sheet xmlns:r="http://schemas.openxmlformats.org/officeDocument/2006/relationships" name="Calcul OEE" sheetId="2" r:id="R1e41a7a0d9bc4de4"/>
    <x:sheet xmlns:r="http://schemas.openxmlformats.org/officeDocument/2006/relationships" name="Tendance ST50" sheetId="3" r:id="R657c8731ffc74ed5"/>
    <x:sheet xmlns:r="http://schemas.openxmlformats.org/officeDocument/2006/relationships" name="Pertes ST50" sheetId="4" r:id="R8cf86cdda4d04bff"/>
    <x:sheet xmlns:r="http://schemas.openxmlformats.org/officeDocument/2006/relationships" name="Sources" sheetId="5" r:id="R463735a227b849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13">
    <x:font>
      <x:sz val="11"/>
      <x:name val="Carlito"/>
    </x:font>
    <x:font>
      <x:b/>
      <x:sz val="15"/>
      <x:color rgb="FF0A1F33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  <x:font>
      <x:sz val="10"/>
      <x:color rgb="FF16202A"/>
      <x:name val="Arial"/>
    </x:font>
    <x:font>
      <x:b/>
      <x:sz val="10"/>
      <x:color rgb="FF0A1F33"/>
      <x:name val="Arial"/>
    </x:font>
    <x:font>
      <x:b/>
      <x:sz val="10"/>
      <x:color rgb="FF26734D"/>
      <x:name val="Arial"/>
    </x:font>
    <x:font>
      <x:sz val="9"/>
      <x:color rgb="FF16202A"/>
      <x:name val="Arial"/>
    </x:font>
    <x:font>
      <x:b/>
      <x:sz val="9"/>
      <x:color rgb="FF16202A"/>
      <x:name val="Arial"/>
    </x:font>
    <x:font>
      <x:b/>
      <x:sz val="17"/>
      <x:color rgb="FF0A1F33"/>
      <x:name val="Arial"/>
    </x:font>
    <x:font>
      <x:b/>
      <x:sz val="17"/>
      <x:color rgb="FF26734D"/>
      <x:name val="Arial"/>
    </x:font>
    <x:font>
      <x:b/>
      <x:sz val="9"/>
      <x:color rgb="FF0A1F33"/>
      <x:name val="Arial"/>
    </x:font>
    <x:font>
      <x:b/>
      <x:sz val="12"/>
      <x:color rgb="FF16202A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A1F33"/>
      </x:patternFill>
    </x:fill>
    <x:fill>
      <x:patternFill patternType="solid">
        <x:fgColor rgb="FFFFF2CC"/>
      </x:patternFill>
    </x:fill>
    <x:fill>
      <x:patternFill patternType="solid">
        <x:fgColor rgb="FFF4F7FA"/>
      </x:patternFill>
    </x:fill>
    <x:fill>
      <x:patternFill patternType="solid">
        <x:fgColor rgb="FFEAF3FF"/>
      </x:patternFill>
    </x:fill>
    <x:fill>
      <x:patternFill patternType="solid">
        <x:fgColor rgb="FFFDE9E7"/>
      </x:patternFill>
    </x:fill>
    <x:fill>
      <x:patternFill patternType="solid">
        <x:fgColor rgb="FFE2F0D9"/>
      </x:patternFill>
    </x:fill>
    <x:fill>
      <x:patternFill patternType="solid">
        <x:fgColor rgb="FF0B63CE"/>
      </x:patternFill>
    </x:fill>
  </x:fills>
  <x:borders count="16">
    <x:border/>
    <x:border>
      <x:bottom style="thin">
        <x:color rgb="FF28B8D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9A227"/>
      </x:left>
      <x:top style="thin">
        <x:color rgb="FFC9A227"/>
      </x:top>
    </x:border>
    <x:border>
      <x:top style="thin">
        <x:color rgb="FFC9A227"/>
      </x:top>
    </x:border>
    <x:border>
      <x:right style="thin">
        <x:color rgb="FFC9A227"/>
      </x:right>
      <x:top style="thin">
        <x:color rgb="FFC9A227"/>
      </x:top>
    </x:border>
    <x:border>
      <x:left style="thin">
        <x:color rgb="FFC9A227"/>
      </x:left>
    </x:border>
    <x:border>
      <x:right style="thin">
        <x:color rgb="FFC9A227"/>
      </x:right>
    </x:border>
    <x:border>
      <x:left style="thin">
        <x:color rgb="FFC9A227"/>
      </x:left>
      <x:bottom style="thin">
        <x:color rgb="FFC9A227"/>
      </x:bottom>
    </x:border>
    <x:border>
      <x:bottom style="thin">
        <x:color rgb="FFC9A227"/>
      </x:bottom>
    </x:border>
    <x:border>
      <x:right style="thin">
        <x:color rgb="FFC9A227"/>
      </x:right>
      <x:bottom style="thin">
        <x:color rgb="FFC9A227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200" fontId="4" fillId="3" borderId="4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200" fontId="4" fillId="4" borderId="3" xfId="0" applyNumberFormat="1" applyFont="1" applyFill="1" applyBorder="1" applyAlignment="1">
      <x:alignment vertical="center"/>
    </x:xf>
    <x:xf numFmtId="200" fontId="4" fillId="4" borderId="4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200" fontId="5" fillId="5" borderId="4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201" fontId="4" fillId="4" borderId="3" xfId="0" applyNumberFormat="1" applyFont="1" applyFill="1" applyBorder="1" applyAlignment="1">
      <x:alignment vertical="center"/>
    </x:xf>
    <x:xf numFmtId="201" fontId="4" fillId="4" borderId="4" xfId="0" applyNumberFormat="1" applyFont="1" applyFill="1" applyBorder="1" applyAlignment="1">
      <x:alignment vertical="center"/>
    </x:xf>
    <x:xf numFmtId="201" fontId="5" fillId="5" borderId="4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0" fontId="4" fillId="7" borderId="4" xfId="0" applyNumberFormat="1" applyFont="1" applyFill="1" applyBorder="1" applyAlignment="1">
      <x:alignment vertical="center"/>
    </x:xf>
    <x:xf numFmtId="200" fontId="4" fillId="6" borderId="3" xfId="0" applyNumberFormat="1" applyFont="1" applyFill="1" applyBorder="1" applyAlignment="1">
      <x:alignment vertical="center"/>
    </x:xf>
    <x:xf numFmtId="200" fontId="4" fillId="6" borderId="4" xfId="0" applyNumberFormat="1" applyFont="1" applyFill="1" applyBorder="1" applyAlignment="1">
      <x:alignment vertical="center"/>
    </x:xf>
    <x:xf numFmtId="200" fontId="4" fillId="7" borderId="4" xfId="0" applyNumberFormat="1" applyFont="1" applyFill="1" applyBorder="1" applyAlignment="1">
      <x:alignment vertical="center"/>
    </x:xf>
    <x:xf numFmtId="201" fontId="4" fillId="6" borderId="3" xfId="0" applyNumberFormat="1" applyFont="1" applyFill="1" applyBorder="1" applyAlignment="1">
      <x:alignment vertical="center"/>
    </x:xf>
    <x:xf numFmtId="201" fontId="4" fillId="6" borderId="4" xfId="0" applyNumberFormat="1" applyFont="1" applyFill="1" applyBorder="1" applyAlignment="1">
      <x:alignment vertical="center"/>
    </x:xf>
    <x:xf numFmtId="201" fontId="4" fillId="7" borderId="4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8" fillId="3" borderId="5" xfId="0" applyNumberFormat="1" applyFont="1" applyFill="1" applyBorder="1" applyAlignment="1">
      <x:alignment vertical="center" wrapText="1"/>
    </x:xf>
    <x:xf numFmtId="0" fontId="7" fillId="3" borderId="6" xfId="0" applyNumberFormat="1" applyFont="1" applyFill="1" applyBorder="1" applyAlignment="1">
      <x:alignment vertical="center" wrapText="1"/>
    </x:xf>
    <x:xf numFmtId="0" fontId="7" fillId="3" borderId="7" xfId="0" applyNumberFormat="1" applyFont="1" applyFill="1" applyBorder="1" applyAlignment="1">
      <x:alignment vertical="center" wrapText="1"/>
    </x:xf>
    <x:xf numFmtId="0" fontId="8" fillId="3" borderId="8" xfId="0" applyNumberFormat="1" applyFont="1" applyFill="1" applyBorder="1" applyAlignment="1">
      <x:alignment vertical="center" wrapText="1"/>
    </x:xf>
    <x:xf numFmtId="0" fontId="7" fillId="3" borderId="9" xfId="0" applyNumberFormat="1" applyFont="1" applyFill="1" applyBorder="1" applyAlignment="1">
      <x:alignment vertical="center" wrapText="1"/>
    </x:xf>
    <x:xf numFmtId="0" fontId="8" fillId="3" borderId="10" xfId="0" applyNumberFormat="1" applyFont="1" applyFill="1" applyBorder="1" applyAlignment="1">
      <x:alignment vertical="center" wrapText="1"/>
    </x:xf>
    <x:xf numFmtId="0" fontId="7" fillId="3" borderId="11" xfId="0" applyNumberFormat="1" applyFont="1" applyFill="1" applyBorder="1" applyAlignment="1">
      <x:alignment vertical="center" wrapText="1"/>
    </x:xf>
    <x:xf numFmtId="0" fontId="7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2" borderId="13" xfId="0" applyNumberFormat="1" applyFont="1" applyFill="1" applyBorder="1"/>
    <x:xf numFmtId="0" fontId="3" fillId="2" borderId="13" xfId="0" applyNumberFormat="1" applyFont="1" applyFill="1" applyBorder="1"/>
    <x:xf numFmtId="0" fontId="0" fillId="5" borderId="14" xfId="0" applyNumberFormat="1" applyFont="1" applyFill="1" applyBorder="1"/>
    <x:xf numFmtId="0" fontId="9" fillId="5" borderId="14" xfId="0" applyNumberFormat="1" applyFont="1" applyFill="1" applyBorder="1"/>
    <x:xf numFmtId="201" fontId="9" fillId="5" borderId="14" xfId="0" applyNumberFormat="1" applyFont="1" applyFill="1" applyBorder="1"/>
    <x:xf numFmtId="201" fontId="9" fillId="5" borderId="14" xfId="0" applyNumberFormat="1" applyFont="1" applyFill="1" applyBorder="1" applyAlignment="1">
      <x:alignment horizontal="center"/>
    </x:xf>
    <x:xf numFmtId="0" fontId="2" fillId="0" borderId="15" xfId="0" applyNumberFormat="1" applyFont="1" applyFill="1" applyBorder="1"/>
    <x:xf numFmtId="0" fontId="2" fillId="0" borderId="15" xfId="0" applyNumberFormat="1" applyFont="1" applyFill="1" applyBorder="1" applyAlignment="1">
      <x:alignment horizontal="center"/>
    </x:xf>
    <x:xf numFmtId="0" fontId="0" fillId="8" borderId="13" xfId="0" applyNumberFormat="1" applyFont="1" applyFill="1" applyBorder="1"/>
    <x:xf numFmtId="0" fontId="3" fillId="8" borderId="13" xfId="0" applyNumberFormat="1" applyFont="1" applyFill="1" applyBorder="1"/>
    <x:xf numFmtId="0" fontId="0" fillId="7" borderId="14" xfId="0" applyNumberFormat="1" applyFont="1" applyFill="1" applyBorder="1"/>
    <x:xf numFmtId="0" fontId="10" fillId="7" borderId="14" xfId="0" applyNumberFormat="1" applyFont="1" applyFill="1" applyBorder="1"/>
    <x:xf numFmtId="201" fontId="10" fillId="7" borderId="14" xfId="0" applyNumberFormat="1" applyFont="1" applyFill="1" applyBorder="1"/>
    <x:xf numFmtId="201" fontId="10" fillId="7" borderId="14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200" fontId="12" fillId="0" borderId="0" xfId="0" applyNumberFormat="1" applyFont="1" applyFill="1" applyBorder="1"/>
    <x:xf numFmtId="201" fontId="0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a9f2cff80f46a3" /><Relationship Type="http://schemas.openxmlformats.org/officeDocument/2006/relationships/theme" Target="/xl/theme/theme1.xml" Id="Rd69590077a4646da" /><Relationship Type="http://schemas.openxmlformats.org/officeDocument/2006/relationships/sharedStrings" Target="/xl/sharedStrings.xml" Id="R160e1ec33d964bf4" /><Relationship Type="http://schemas.openxmlformats.org/officeDocument/2006/relationships/worksheet" Target="/xl/worksheets/sheet1.xml" Id="Rff5974cfe1534b8c" /><Relationship Type="http://schemas.openxmlformats.org/officeDocument/2006/relationships/worksheet" Target="/xl/worksheets/sheet2.xml" Id="R1e41a7a0d9bc4de4" /><Relationship Type="http://schemas.openxmlformats.org/officeDocument/2006/relationships/worksheet" Target="/xl/worksheets/sheet3.xml" Id="R657c8731ffc74ed5" /><Relationship Type="http://schemas.openxmlformats.org/officeDocument/2006/relationships/worksheet" Target="/xl/worksheets/sheet4.xml" Id="R8cf86cdda4d04bff" /><Relationship Type="http://schemas.openxmlformats.org/officeDocument/2006/relationships/worksheet" Target="/xl/worksheets/sheet5.xml" Id="R463735a227b849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c5f73317f14f2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bde448c23fd4a5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e806eaf091343b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Facteurs du TRS ST50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Valeur</c:v>
          </c:tx>
          <c:spPr>
            <a:solidFill xmlns:a="http://schemas.openxmlformats.org/drawingml/2006/main">
              <a:srgbClr val="0B63CE"/>
            </a:solidFill>
          </c:spPr>
          <c:cat>
            <c:strRef>
              <c:f>'Synthèse'!$A$15:$A$18</c:f>
              <c:strCache>
                <c:ptCount val="0"/>
              </c:strCache>
            </c:strRef>
          </c:cat>
          <c:val>
            <c:numRef>
              <c:f>'Synthèse'!$B$15:$B$18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TRS ST50 par équipe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TRS</c:v>
          </c:tx>
          <c:spPr>
            <a:solidFill xmlns:a="http://schemas.openxmlformats.org/drawingml/2006/main">
              <a:srgbClr val="0B63CE"/>
            </a:solidFill>
            <a:ln xmlns:a="http://schemas.openxmlformats.org/drawingml/2006/main" w="19050">
              <a:solidFill>
                <a:srgbClr val="0B63CE"/>
              </a:solidFill>
              <a:prstDash val="solid"/>
            </a:ln>
          </c:spPr>
          <c:marker>
            <c:symbol val="none"/>
          </c:marker>
          <c:cat>
            <c:strRef>
              <c:f>'Tendance ST50'!$A$7:$A$46</c:f>
              <c:strCache>
                <c:ptCount val="0"/>
              </c:strCache>
            </c:strRef>
          </c:cat>
          <c:val>
            <c:numRef>
              <c:f>'Tendance ST50'!$M$7:$M$46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TRS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Pertes ST50 par composante (secondes)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Temps (s)</c:v>
          </c:tx>
          <c:spPr>
            <a:solidFill xmlns:a="http://schemas.openxmlformats.org/drawingml/2006/main">
              <a:srgbClr val="E67E22"/>
            </a:solidFill>
          </c:spPr>
          <c:cat>
            <c:strRef>
              <c:f>'Pertes ST50'!$A$7:$A$10</c:f>
              <c:strCache>
                <c:ptCount val="0"/>
              </c:strCache>
            </c:strRef>
          </c:cat>
          <c:val>
            <c:numRef>
              <c:f>'Pertes ST50'!$B$7:$B$10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c5f73317f14f2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16</xdr:col>
      <xdr:colOff>0</xdr:colOff>
      <xdr:row>5</xdr:row>
      <xdr:rowOff>0</xdr:rowOff>
    </xdr:from>
    <xdr:to>
      <xdr:col>29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de448c23fd4a5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5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806eaf091343b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4f2156e7ea4c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194dd7a21a347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89ce6e5f630044a7" /></Relationships>
</file>

<file path=xl/worksheets/sheet1.xml><?xml version="1.0" encoding="utf-8"?>
<x:worksheet xmlns:x="http://schemas.openxmlformats.org/spreadsheetml/2006/main">
  <x:sheetPr>
    <x:tabColor rgb="FF0A1F33"/>
  </x:sheetPr>
  <x:sheetViews>
    <x:sheetView showGridLines="0" workbookViewId="0"/>
  </x:sheetViews>
  <x:sheetFormatPr defaultRowHeight="15"/>
  <x:cols>
    <x:col min="1" max="1" width="23" hidden="0" customWidth="1"/>
    <x:col min="4" max="4" width="23" hidden="0" customWidth="1"/>
    <x:col min="7" max="7" width="23" hidden="0" customWidth="1"/>
    <x:col min="10" max="10" width="23" hidden="0" customWidth="1"/>
    <x:col min="2" max="2" width="14" hidden="0" customWidth="1"/>
    <x:col min="3" max="3" width="3" hidden="0" customWidth="1"/>
    <x:col min="5" max="5" width="4" hidden="0" customWidth="1"/>
    <x:col min="6" max="6" width="4" hidden="0" customWidth="1"/>
    <x:col min="8" max="8" width="4" hidden="0" customWidth="1"/>
    <x:col min="9" max="9" width="4" hidden="0" customWidth="1"/>
    <x:col min="11" max="11" width="12" hidden="0" customWidth="1"/>
    <x:col min="12" max="12" width="12" hidden="0" customWidth="1"/>
  </x:cols>
  <x:sheetData>
    <x:row r="1" ht="22" customHeight="1"/>
    <x:row r="2" ht="22" customHeight="1">
      <x:c r="A2" s="1" t="str">
        <x:v>EMA-120 - OEE / TRS du poste contraignant ST50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3" t="str">
        <x:v>Le TRS principal porte sur ST50. Les indicateurs des autres postes restent des comparaisons et ne sont pas moyennés.</x:v>
      </x:c>
    </x:row>
    <x:row r="5" ht="22" customHeight="1"/>
    <x:row r="6" ht="28" customHeight="1">
      <x:c r="A6" s="65" t="str">
        <x:v>Disponibilité</x:v>
      </x:c>
      <x:c r="D6" s="65" t="str">
        <x:v>Performance</x:v>
      </x:c>
      <x:c r="G6" s="65" t="str">
        <x:v>Qualité</x:v>
      </x:c>
      <x:c r="J6" s="73" t="str">
        <x:v>TRS / OEE</x:v>
      </x:c>
    </x:row>
    <x:row r="7" ht="36" customHeight="1">
      <x:c r="A7" s="69" t="n">
        <x:f>'Calcul OEE'!L19</x:f>
        <x:v>0.9114251893939394</x:v>
      </x:c>
      <x:c r="D7" s="69" t="n">
        <x:f>'Calcul OEE'!M19</x:f>
        <x:v>0.934537879299507</x:v>
      </x:c>
      <x:c r="G7" s="69" t="n">
        <x:f>'Calcul OEE'!N19</x:f>
        <x:v>0.9784537389100126</x:v>
      </x:c>
      <x:c r="J7" s="77" t="n">
        <x:f>'Calcul OEE'!O19</x:f>
        <x:v>0.8334090909090909</x:v>
      </x:c>
    </x:row>
    <x:row r="8" ht="22" customHeight="1">
      <x:c r="A8" s="71" t="str">
        <x:v>Temps réellement disponible</x:v>
      </x:c>
      <x:c r="D8" s="71" t="str">
        <x:v>Cadence vs cycle idéal</x:v>
      </x:c>
      <x:c r="G8" s="71" t="str">
        <x:v>Bon du premier coup</x:v>
      </x:c>
      <x:c r="J8" s="71" t="str">
        <x:v>A x P x Q</x:v>
      </x:c>
    </x:row>
    <x:row r="9" ht="22" customHeight="1"/>
    <x:row r="10" ht="22" customHeight="1">
      <x:c r="A10" s="78" t="str">
        <x:v>Temps planifié</x:v>
      </x:c>
      <x:c r="B10"/>
      <x:c r="C10"/>
      <x:c r="D10" s="78" t="str">
        <x:v>Temps de fonctionnement</x:v>
      </x:c>
      <x:c r="E10"/>
      <x:c r="F10"/>
      <x:c r="G10" s="78" t="str">
        <x:v>Quantité totale</x:v>
      </x:c>
      <x:c r="H10"/>
      <x:c r="I10"/>
      <x:c r="J10" s="78" t="str">
        <x:v>Quantité bonne</x:v>
      </x:c>
      <x:c r="K10"/>
    </x:row>
    <x:row r="11" ht="22" customHeight="1">
      <x:c r="A11" s="80" t="n">
        <x:f>'Calcul OEE'!C19</x:f>
        <x:v>1056000</x:v>
      </x:c>
      <x:c r="D11" s="80" t="n">
        <x:f>'Calcul OEE'!G19</x:f>
        <x:v>962465</x:v>
      </x:c>
      <x:c r="G11" s="80" t="n">
        <x:f>'Calcul OEE'!I19</x:f>
        <x:v>3156</x:v>
      </x:c>
      <x:c r="J11" s="80" t="n">
        <x:f>'Calcul OEE'!J19</x:f>
        <x:v>3088</x:v>
      </x:c>
    </x:row>
    <x:row r="12" ht="22" customHeight="1"/>
    <x:row r="13" ht="22" customHeight="1"/>
    <x:row r="14" ht="22" customHeight="1">
      <x:c r="A14" s="9" t="str">
        <x:v>Facteur</x:v>
      </x:c>
      <x:c r="B14" s="9" t="str">
        <x:v>Valeur</x:v>
      </x:c>
    </x:row>
    <x:row r="15" ht="22" customHeight="1">
      <x:c r="A15" s="12" t="str">
        <x:v>Disponibilité</x:v>
      </x:c>
      <x:c r="B15" s="84" t="n">
        <x:f>'Calcul OEE'!L19</x:f>
        <x:v>0.9114251893939394</x:v>
      </x:c>
    </x:row>
    <x:row r="16" ht="22" customHeight="1">
      <x:c r="A16" s="13" t="str">
        <x:v>Performance</x:v>
      </x:c>
      <x:c r="B16" s="85" t="n">
        <x:f>'Calcul OEE'!M19</x:f>
        <x:v>0.934537879299507</x:v>
      </x:c>
    </x:row>
    <x:row r="17" ht="22" customHeight="1">
      <x:c r="A17" s="13" t="str">
        <x:v>Qualité</x:v>
      </x:c>
      <x:c r="B17" s="85" t="n">
        <x:f>'Calcul OEE'!N19</x:f>
        <x:v>0.9784537389100126</x:v>
      </x:c>
    </x:row>
    <x:row r="18" ht="22" customHeight="1">
      <x:c r="A18" s="13" t="str">
        <x:v>TRS / OEE</x:v>
      </x:c>
      <x:c r="B18" s="85" t="n">
        <x:f>'Calcul OEE'!O19</x:f>
        <x:v>0.8334090909090909</x:v>
      </x:c>
    </x:row>
    <x:row r="19" ht="22" customHeight="1"/>
    <x:row r="20" ht="22" customHeight="1"/>
    <x:row r="21" ht="22" customHeight="1">
      <x:c r="A21" s="9" t="str">
        <x:v>Pertes ST50</x:v>
      </x:c>
      <x:c r="B21" s="9" t="str">
        <x:v>Temps (s)</x:v>
      </x:c>
    </x:row>
    <x:row r="22" ht="22" customHeight="1">
      <x:c r="A22" s="35" t="str">
        <x:v>Changements planifiés</x:v>
      </x:c>
      <x:c r="B22" s="38" t="n">
        <x:f>'Pertes ST50'!B7</x:f>
        <x:v>67500</x:v>
      </x:c>
    </x:row>
    <x:row r="23" ht="22" customHeight="1">
      <x:c r="A23" s="36" t="str">
        <x:v>Arrêts non planifiés</x:v>
      </x:c>
      <x:c r="B23" s="39" t="n">
        <x:f>'Pertes ST50'!B8</x:f>
        <x:v>26035</x:v>
      </x:c>
    </x:row>
    <x:row r="24" ht="22" customHeight="1">
      <x:c r="A24" s="36" t="str">
        <x:v>Perte de performance</x:v>
      </x:c>
      <x:c r="B24" s="39" t="n">
        <x:f>'Pertes ST50'!B9</x:f>
        <x:v>63005</x:v>
      </x:c>
    </x:row>
    <x:row r="25" ht="22" customHeight="1">
      <x:c r="A25" s="36" t="str">
        <x:v>Perte de qualité</x:v>
      </x:c>
      <x:c r="B25" s="39" t="n">
        <x:f>'Pertes ST50'!B10</x:f>
        <x:v>19380</x:v>
      </x:c>
    </x:row>
    <x:row r="26" ht="22" customHeight="1">
      <x:c r="A26" s="37" t="str">
        <x:v>Écart de réconciliation</x:v>
      </x:c>
      <x:c r="B26" s="40" t="n">
        <x:f>'Pertes ST50'!B17</x:f>
        <x:v>0</x:v>
      </x:c>
    </x:row>
    <x:row r="27" ht="22" customHeight="1"/>
    <x:row r="28" ht="22" customHeight="1"/>
    <x:row r="29" ht="22" customHeight="1"/>
    <x:row r="30" ht="38" customHeight="1">
      <x:c r="A30" s="53" t="str">
        <x:v>Résultat</x:v>
      </x:c>
      <x:c r="B30" s="54" t="str">
        <x:v>Le TRS de ST50 est de 83,34 % : 83,34 % du temps planifié est converti en temps idéal pour des unités bonnes au premier passage.</x:v>
      </x:c>
      <x:c r="C30" s="54"/>
      <x:c r="D30" s="54"/>
      <x:c r="E30" s="54"/>
      <x:c r="F30" s="54"/>
      <x:c r="G30" s="54"/>
      <x:c r="H30" s="54"/>
      <x:c r="I30" s="54"/>
      <x:c r="J30" s="54"/>
      <x:c r="K30" s="54"/>
      <x:c r="L30" s="55"/>
    </x:row>
    <x:row r="31" ht="38" customHeight="1">
      <x:c r="A31" s="56" t="str">
        <x:v>Facteur limitant</x:v>
      </x:c>
      <x:c r="B31" s="52" t="str">
        <x:v>La Disponibilité est le facteur le plus faible (91,14 %), devant la Performance (93,45 %) et la Qualité (97,85 %).</x:v>
      </x:c>
      <x:c r="C31" s="52"/>
      <x:c r="D31" s="52"/>
      <x:c r="E31" s="52"/>
      <x:c r="F31" s="52"/>
      <x:c r="G31" s="52"/>
      <x:c r="H31" s="52"/>
      <x:c r="I31" s="52"/>
      <x:c r="J31" s="52"/>
      <x:c r="K31" s="52"/>
      <x:c r="L31" s="57"/>
    </x:row>
    <x:row r="32" ht="38" customHeight="1">
      <x:c r="A32" s="56" t="str">
        <x:v>Pertes</x:v>
      </x:c>
      <x:c r="B32" s="52" t="str">
        <x:v>La famille Disponibilité représente 93 535 s de pertes; le changement planifié est la première composante individuelle avec 67 500 s.</x:v>
      </x:c>
      <x:c r="C32" s="52"/>
      <x:c r="D32" s="52"/>
      <x:c r="E32" s="52"/>
      <x:c r="F32" s="52"/>
      <x:c r="G32" s="52"/>
      <x:c r="H32" s="52"/>
      <x:c r="I32" s="52"/>
      <x:c r="J32" s="52"/>
      <x:c r="K32" s="52"/>
      <x:c r="L32" s="57"/>
    </x:row>
    <x:row r="33" ht="38" customHeight="1">
      <x:c r="A33" s="58" t="str">
        <x:v>Contrôle</x:v>
      </x:c>
      <x:c r="B33" s="59" t="str">
        <x:v>La réconciliation est exacte : 1 056 000 s planifiées = 175 920 s de pertes + 880 080 s de temps productif bon.</x:v>
      </x:c>
      <x:c r="C33" s="59"/>
      <x:c r="D33" s="59"/>
      <x:c r="E33" s="59"/>
      <x:c r="F33" s="59"/>
      <x:c r="G33" s="59"/>
      <x:c r="H33" s="59"/>
      <x:c r="I33" s="59"/>
      <x:c r="J33" s="59"/>
      <x:c r="K33" s="59"/>
      <x:c r="L33" s="60"/>
    </x:row>
    <x:row r="34" ht="22" customHeight="1"/>
  </x:sheetData>
  <x:mergeCells>
    <x:mergeCell ref="B30:L30"/>
    <x:mergeCell ref="B31:L31"/>
    <x:mergeCell ref="B32:L32"/>
    <x:mergeCell ref="B33:L33"/>
  </x:mergeCells>
  <x:pageMargins left="0.7" right="0.7" top="0.75" bottom="0.75" header="0.3" footer="0.3"/>
  <x:drawing xmlns:r="http://schemas.openxmlformats.org/officeDocument/2006/relationships" r:id="R204f2156e7ea4cb8"/>
</x:worksheet>
</file>

<file path=xl/worksheets/sheet2.xml><?xml version="1.0" encoding="utf-8"?>
<x:worksheet xmlns:x="http://schemas.openxmlformats.org/spreadsheetml/2006/main">
  <x:sheetPr>
    <x:tabColor rgb="FF0B63CE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12" hidden="0" customWidth="1"/>
    <x:col min="2" max="2" width="3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14" hidden="0" customWidth="1"/>
  </x:cols>
  <x:sheetData>
    <x:row r="1" ht="22" customHeight="1"/>
    <x:row r="2" ht="22" customHeight="1">
      <x:c r="A2" s="1" t="str">
        <x:v>EMA-120 - Calcul OEE / TRS par poste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2" customHeight="1">
      <x:c r="A4" s="3" t="str">
        <x:v>A = Fonctionnement / Planifié ; P = Cycle idéal x Quantité totale / Fonctionnement ; Q = Quantité bonne / Quantité totale.</x:v>
      </x:c>
    </x:row>
    <x:row r="5" ht="22" customHeight="1"/>
    <x:row r="6" ht="22" customHeight="1">
      <x:c r="A6" s="9" t="str">
        <x:v>Formule</x:v>
      </x:c>
      <x:c r="B6" s="9" t="str">
        <x:v>Expression</x:v>
      </x:c>
      <x:c r="C6" s="9" t="str">
        <x:v>Lecture</x:v>
      </x:c>
      <x:c r="D6" s="9" t="str">
        <x:v>Contrôle</x:v>
      </x:c>
    </x:row>
    <x:row r="7" ht="22" customHeight="1">
      <x:c r="A7" s="25" t="str">
        <x:v>Disponibilité (A)</x:v>
      </x:c>
      <x:c r="B7" s="25" t="str">
        <x:v>Temps de fonctionnement / Temps planifié</x:v>
      </x:c>
      <x:c r="C7" s="25" t="str">
        <x:v>Part du temps planifié réellement disponible</x:v>
      </x:c>
      <x:c r="D7" s="25" t="str">
        <x:v>0 à 100 %</x:v>
      </x:c>
    </x:row>
    <x:row r="8" ht="22" customHeight="1">
      <x:c r="A8" s="26" t="str">
        <x:v>Performance (P)</x:v>
      </x:c>
      <x:c r="B8" s="26" t="str">
        <x:v>Cycle idéal x Quantité totale / Temps de fonctionnement</x:v>
      </x:c>
      <x:c r="C8" s="26" t="str">
        <x:v>Vitesse et pertes de cadence</x:v>
      </x:c>
      <x:c r="D8" s="26" t="str">
        <x:v>0 à 100 %</x:v>
      </x:c>
    </x:row>
    <x:row r="9" ht="22" customHeight="1">
      <x:c r="A9" s="26" t="str">
        <x:v>Qualité (Q)</x:v>
      </x:c>
      <x:c r="B9" s="26" t="str">
        <x:v>Quantité bonne / Quantité totale</x:v>
      </x:c>
      <x:c r="C9" s="26" t="str">
        <x:v>Part bonne du premier passage</x:v>
      </x:c>
      <x:c r="D9" s="26" t="str">
        <x:v>0 à 100 %</x:v>
      </x:c>
    </x:row>
    <x:row r="10" ht="22" customHeight="1">
      <x:c r="A10" s="26" t="str">
        <x:v>TRS / OEE</x:v>
      </x:c>
      <x:c r="B10" s="26" t="str">
        <x:v>A x P x Q</x:v>
      </x:c>
      <x:c r="C10" s="26" t="str">
        <x:v>Part du temps planifié convertie en temps idéal bon</x:v>
      </x:c>
      <x:c r="D10" s="26" t="str">
        <x:v>Réconcilié aux pertes</x:v>
      </x:c>
    </x:row>
    <x:row r="11" ht="22" customHeight="1"/>
    <x:row r="12" ht="22" customHeight="1"/>
    <x:row r="13" ht="22" customHeight="1"/>
    <x:row r="14" ht="48" customHeight="1">
      <x:c r="A14" s="9" t="str">
        <x:v>Poste</x:v>
      </x:c>
      <x:c r="B14" s="9" t="str">
        <x:v>Processus</x:v>
      </x:c>
      <x:c r="C14" s="9" t="str">
        <x:v>Planifié (s)</x:v>
      </x:c>
      <x:c r="D14" s="9" t="str">
        <x:v>Arrêt planifié (s)</x:v>
      </x:c>
      <x:c r="E14" s="9" t="str">
        <x:v>Arrêt non planifié (s)</x:v>
      </x:c>
      <x:c r="F14" s="9" t="str">
        <x:v>Arrêt total (s)</x:v>
      </x:c>
      <x:c r="G14" s="9" t="str">
        <x:v>Fonctionnement (s)</x:v>
      </x:c>
      <x:c r="H14" s="9" t="str">
        <x:v>Cycle idéal (s/u)</x:v>
      </x:c>
      <x:c r="I14" s="9" t="str">
        <x:v>Qté totale</x:v>
      </x:c>
      <x:c r="J14" s="9" t="str">
        <x:v>Qté bonne</x:v>
      </x:c>
      <x:c r="K14" s="9" t="str">
        <x:v>Qté mauvaise</x:v>
      </x:c>
      <x:c r="L14" s="9" t="str">
        <x:v>A</x:v>
      </x:c>
      <x:c r="M14" s="9" t="str">
        <x:v>P</x:v>
      </x:c>
      <x:c r="N14" s="9" t="str">
        <x:v>Q</x:v>
      </x:c>
      <x:c r="O14" s="9" t="str">
        <x:v>TRS</x:v>
      </x:c>
      <x:c r="P14" s="9" t="str">
        <x:v>Perte disponibilité (s)</x:v>
      </x:c>
      <x:c r="Q14" s="9" t="str">
        <x:v>Perte performance (s)</x:v>
      </x:c>
      <x:c r="R14" s="9" t="str">
        <x:v>Perte qualité (s)</x:v>
      </x:c>
      <x:c r="S14" s="9" t="str">
        <x:v>Temps productif bon (s)</x:v>
      </x:c>
      <x:c r="T14" s="9" t="str">
        <x:v>Écart réconciliation (s)</x:v>
      </x:c>
      <x:c r="U14" s="9" t="str">
        <x:v>Statut</x:v>
      </x:c>
    </x:row>
    <x:row r="15" ht="22" customHeight="1">
      <x:c r="A15" s="17" t="str">
        <x:f>Sources!A15</x:f>
        <x:v>ST10</x:v>
      </x:c>
      <x:c r="B15" s="17" t="str">
        <x:f>Sources!B15</x:f>
        <x:v>Kitting et vérification</x:v>
      </x:c>
      <x:c r="C15" s="19" t="n">
        <x:f>Sources!C15</x:f>
        <x:v>1056000</x:v>
      </x:c>
      <x:c r="D15" s="19" t="n">
        <x:f>Sources!D15</x:f>
        <x:v>88500</x:v>
      </x:c>
      <x:c r="E15" s="19" t="n">
        <x:f>Sources!E15</x:f>
        <x:v>3606</x:v>
      </x:c>
      <x:c r="F15" s="19" t="n">
        <x:f>D15+E15</x:f>
        <x:v>92106</x:v>
      </x:c>
      <x:c r="G15" s="19" t="n">
        <x:f>C15-F15</x:f>
        <x:v>963894</x:v>
      </x:c>
      <x:c r="H15" s="19" t="n">
        <x:f>Sources!F15</x:f>
        <x:v>180</x:v>
      </x:c>
      <x:c r="I15" s="19" t="n">
        <x:f>Sources!G15</x:f>
        <x:v>4200</x:v>
      </x:c>
      <x:c r="J15" s="19" t="n">
        <x:f>Sources!H15</x:f>
        <x:v>4200</x:v>
      </x:c>
      <x:c r="K15" s="19" t="n">
        <x:f>I15-J15</x:f>
        <x:v>0</x:v>
      </x:c>
      <x:c r="L15" s="29" t="n">
        <x:f>IFERROR(G15/C15,0)</x:f>
        <x:v>0.9127784090909091</x:v>
      </x:c>
      <x:c r="M15" s="29" t="n">
        <x:f>IFERROR(H15*I15/G15,0)</x:f>
        <x:v>0.7843186076477289</x:v>
      </x:c>
      <x:c r="N15" s="29" t="n">
        <x:f>IFERROR(J15/I15,0)</x:f>
        <x:v>1</x:v>
      </x:c>
      <x:c r="O15" s="29" t="n">
        <x:f>L15*M15*N15</x:f>
        <x:v>0.7159090909090909</x:v>
      </x:c>
      <x:c r="P15" s="19" t="n">
        <x:f>F15</x:f>
        <x:v>92106</x:v>
      </x:c>
      <x:c r="Q15" s="19" t="n">
        <x:f>G15-H15*I15</x:f>
        <x:v>207894</x:v>
      </x:c>
      <x:c r="R15" s="19" t="n">
        <x:f>H15*(I15-J15)</x:f>
        <x:v>0</x:v>
      </x:c>
      <x:c r="S15" s="19" t="n">
        <x:f>H15*J15</x:f>
        <x:v>756000</x:v>
      </x:c>
      <x:c r="T15" s="19" t="n">
        <x:f>C15-P15-Q15-R15-S15</x:f>
        <x:v>0</x:v>
      </x:c>
      <x:c r="U15" s="32" t="str">
        <x:f>IF(ABS(T15)&lt;0.01,"OK","À vérifier")</x:f>
        <x:v>OK</x:v>
      </x:c>
    </x:row>
    <x:row r="16" ht="22" customHeight="1">
      <x:c r="A16" s="18" t="str">
        <x:f>Sources!A16</x:f>
        <x:v>ST20</x:v>
      </x:c>
      <x:c r="B16" s="18" t="str">
        <x:f>Sources!B16</x:f>
        <x:v>Préassemblage mécanique</x:v>
      </x:c>
      <x:c r="C16" s="20" t="n">
        <x:f>Sources!C16</x:f>
        <x:v>1056000</x:v>
      </x:c>
      <x:c r="D16" s="20" t="n">
        <x:f>Sources!D16</x:f>
        <x:v>88500</x:v>
      </x:c>
      <x:c r="E16" s="20" t="n">
        <x:f>Sources!E16</x:f>
        <x:v>9990</x:v>
      </x:c>
      <x:c r="F16" s="20" t="n">
        <x:f>D16+E16</x:f>
        <x:v>98490</x:v>
      </x:c>
      <x:c r="G16" s="20" t="n">
        <x:f>C16-F16</x:f>
        <x:v>957510</x:v>
      </x:c>
      <x:c r="H16" s="20" t="n">
        <x:f>Sources!F16</x:f>
        <x:v>215</x:v>
      </x:c>
      <x:c r="I16" s="20" t="n">
        <x:f>Sources!G16</x:f>
        <x:v>4198</x:v>
      </x:c>
      <x:c r="J16" s="20" t="n">
        <x:f>Sources!H16</x:f>
        <x:v>4198</x:v>
      </x:c>
      <x:c r="K16" s="20" t="n">
        <x:f>I16-J16</x:f>
        <x:v>0</x:v>
      </x:c>
      <x:c r="L16" s="30" t="n">
        <x:f>IFERROR(G16/C16,0)</x:f>
        <x:v>0.9067329545454546</x:v>
      </x:c>
      <x:c r="M16" s="30" t="n">
        <x:f>IFERROR(H16*I16/G16,0)</x:f>
        <x:v>0.942622009169617</x:v>
      </x:c>
      <x:c r="N16" s="30" t="n">
        <x:f>IFERROR(J16/I16,0)</x:f>
        <x:v>1</x:v>
      </x:c>
      <x:c r="O16" s="30" t="n">
        <x:f>L16*M16*N16</x:f>
        <x:v>0.8547064393939394</x:v>
      </x:c>
      <x:c r="P16" s="20" t="n">
        <x:f>F16</x:f>
        <x:v>98490</x:v>
      </x:c>
      <x:c r="Q16" s="20" t="n">
        <x:f>G16-H16*I16</x:f>
        <x:v>54940</x:v>
      </x:c>
      <x:c r="R16" s="20" t="n">
        <x:f>H16*(I16-J16)</x:f>
        <x:v>0</x:v>
      </x:c>
      <x:c r="S16" s="20" t="n">
        <x:f>H16*J16</x:f>
        <x:v>902570</x:v>
      </x:c>
      <x:c r="T16" s="20" t="n">
        <x:f>C16-P16-Q16-R16-S16</x:f>
        <x:v>0</x:v>
      </x:c>
      <x:c r="U16" s="33" t="str">
        <x:f>IF(ABS(T16)&lt;0.01,"OK","À vérifier")</x:f>
        <x:v>OK</x:v>
      </x:c>
    </x:row>
    <x:row r="17" ht="22" customHeight="1">
      <x:c r="A17" s="18" t="str">
        <x:f>Sources!A17</x:f>
        <x:v>ST30</x:v>
      </x:c>
      <x:c r="B17" s="18" t="str">
        <x:f>Sources!B17</x:f>
        <x:v>Montage arbre et roulements</x:v>
      </x:c>
      <x:c r="C17" s="20" t="n">
        <x:f>Sources!C17</x:f>
        <x:v>1056000</x:v>
      </x:c>
      <x:c r="D17" s="20" t="n">
        <x:f>Sources!D17</x:f>
        <x:v>81000</x:v>
      </x:c>
      <x:c r="E17" s="20" t="n">
        <x:f>Sources!E17</x:f>
        <x:v>18160</x:v>
      </x:c>
      <x:c r="F17" s="20" t="n">
        <x:f>D17+E17</x:f>
        <x:v>99160</x:v>
      </x:c>
      <x:c r="G17" s="20" t="n">
        <x:f>C17-F17</x:f>
        <x:v>956840</x:v>
      </x:c>
      <x:c r="H17" s="20" t="n">
        <x:f>Sources!F17</x:f>
        <x:v>240</x:v>
      </x:c>
      <x:c r="I17" s="20" t="n">
        <x:f>Sources!G17</x:f>
        <x:v>3826</x:v>
      </x:c>
      <x:c r="J17" s="20" t="n">
        <x:f>Sources!H17</x:f>
        <x:v>3826</x:v>
      </x:c>
      <x:c r="K17" s="20" t="n">
        <x:f>I17-J17</x:f>
        <x:v>0</x:v>
      </x:c>
      <x:c r="L17" s="30" t="n">
        <x:f>IFERROR(G17/C17,0)</x:f>
        <x:v>0.9060984848484849</x:v>
      </x:c>
      <x:c r="M17" s="30" t="n">
        <x:f>IFERROR(H17*I17/G17,0)</x:f>
        <x:v>0.9596588771372434</x:v>
      </x:c>
      <x:c r="N17" s="30" t="n">
        <x:f>IFERROR(J17/I17,0)</x:f>
        <x:v>1</x:v>
      </x:c>
      <x:c r="O17" s="30" t="n">
        <x:f>L17*M17*N17</x:f>
        <x:v>0.8695454545454545</x:v>
      </x:c>
      <x:c r="P17" s="20" t="n">
        <x:f>F17</x:f>
        <x:v>99160</x:v>
      </x:c>
      <x:c r="Q17" s="20" t="n">
        <x:f>G17-H17*I17</x:f>
        <x:v>38600</x:v>
      </x:c>
      <x:c r="R17" s="20" t="n">
        <x:f>H17*(I17-J17)</x:f>
        <x:v>0</x:v>
      </x:c>
      <x:c r="S17" s="20" t="n">
        <x:f>H17*J17</x:f>
        <x:v>918240</x:v>
      </x:c>
      <x:c r="T17" s="20" t="n">
        <x:f>C17-P17-Q17-R17-S17</x:f>
        <x:v>0</x:v>
      </x:c>
      <x:c r="U17" s="33" t="str">
        <x:f>IF(ABS(T17)&lt;0.01,"OK","À vérifier")</x:f>
        <x:v>OK</x:v>
      </x:c>
    </x:row>
    <x:row r="18" ht="22" customHeight="1">
      <x:c r="A18" s="18" t="str">
        <x:f>Sources!A18</x:f>
        <x:v>ST40</x:v>
      </x:c>
      <x:c r="B18" s="18" t="str">
        <x:f>Sources!B18</x:f>
        <x:v>Assemblage et serrage contrôlé</x:v>
      </x:c>
      <x:c r="C18" s="20" t="n">
        <x:f>Sources!C18</x:f>
        <x:v>1056000</x:v>
      </x:c>
      <x:c r="D18" s="20" t="n">
        <x:f>Sources!D18</x:f>
        <x:v>81000</x:v>
      </x:c>
      <x:c r="E18" s="20" t="n">
        <x:f>Sources!E18</x:f>
        <x:v>9323</x:v>
      </x:c>
      <x:c r="F18" s="20" t="n">
        <x:f>D18+E18</x:f>
        <x:v>90323</x:v>
      </x:c>
      <x:c r="G18" s="20" t="n">
        <x:f>C18-F18</x:f>
        <x:v>965677</x:v>
      </x:c>
      <x:c r="H18" s="20" t="n">
        <x:f>Sources!F18</x:f>
        <x:v>225</x:v>
      </x:c>
      <x:c r="I18" s="20" t="n">
        <x:f>Sources!G18</x:f>
        <x:v>3821</x:v>
      </x:c>
      <x:c r="J18" s="20" t="n">
        <x:f>Sources!H18</x:f>
        <x:v>3797</x:v>
      </x:c>
      <x:c r="K18" s="20" t="n">
        <x:f>I18-J18</x:f>
        <x:v>24</x:v>
      </x:c>
      <x:c r="L18" s="30" t="n">
        <x:f>IFERROR(G18/C18,0)</x:f>
        <x:v>0.9144668560606061</x:v>
      </x:c>
      <x:c r="M18" s="30" t="n">
        <x:f>IFERROR(H18*I18/G18,0)</x:f>
        <x:v>0.8902821543849548</x:v>
      </x:c>
      <x:c r="N18" s="30" t="n">
        <x:f>IFERROR(J18/I18,0)</x:f>
        <x:v>0.9937189217482334</x:v>
      </x:c>
      <x:c r="O18" s="30" t="n">
        <x:f>L18*M18*N18</x:f>
        <x:v>0.8090198863636364</x:v>
      </x:c>
      <x:c r="P18" s="20" t="n">
        <x:f>F18</x:f>
        <x:v>90323</x:v>
      </x:c>
      <x:c r="Q18" s="20" t="n">
        <x:f>G18-H18*I18</x:f>
        <x:v>105952</x:v>
      </x:c>
      <x:c r="R18" s="20" t="n">
        <x:f>H18*(I18-J18)</x:f>
        <x:v>5400</x:v>
      </x:c>
      <x:c r="S18" s="20" t="n">
        <x:f>H18*J18</x:f>
        <x:v>854325</x:v>
      </x:c>
      <x:c r="T18" s="20" t="n">
        <x:f>C18-P18-Q18-R18-S18</x:f>
        <x:v>0</x:v>
      </x:c>
      <x:c r="U18" s="33" t="str">
        <x:f>IF(ABS(T18)&lt;0.01,"OK","À vérifier")</x:f>
        <x:v>OK</x:v>
      </x:c>
    </x:row>
    <x:row r="19" ht="22" customHeight="1">
      <x:c r="A19" s="23" t="str">
        <x:f>Sources!A19</x:f>
        <x:v>ST50</x:v>
      </x:c>
      <x:c r="B19" s="23" t="str">
        <x:f>Sources!B19</x:f>
        <x:v>Essai fonctionnel</x:v>
      </x:c>
      <x:c r="C19" s="24" t="n">
        <x:f>Sources!C19</x:f>
        <x:v>1056000</x:v>
      </x:c>
      <x:c r="D19" s="24" t="n">
        <x:f>Sources!D19</x:f>
        <x:v>67500</x:v>
      </x:c>
      <x:c r="E19" s="24" t="n">
        <x:f>Sources!E19</x:f>
        <x:v>26035</x:v>
      </x:c>
      <x:c r="F19" s="24" t="n">
        <x:f>D19+E19</x:f>
        <x:v>93535</x:v>
      </x:c>
      <x:c r="G19" s="24" t="n">
        <x:f>C19-F19</x:f>
        <x:v>962465</x:v>
      </x:c>
      <x:c r="H19" s="24" t="n">
        <x:f>Sources!F19</x:f>
        <x:v>285</x:v>
      </x:c>
      <x:c r="I19" s="24" t="n">
        <x:f>Sources!G19</x:f>
        <x:v>3156</x:v>
      </x:c>
      <x:c r="J19" s="24" t="n">
        <x:f>Sources!H19</x:f>
        <x:v>3088</x:v>
      </x:c>
      <x:c r="K19" s="24" t="n">
        <x:f>I19-J19</x:f>
        <x:v>68</x:v>
      </x:c>
      <x:c r="L19" s="31" t="n">
        <x:f>IFERROR(G19/C19,0)</x:f>
        <x:v>0.9114251893939394</x:v>
      </x:c>
      <x:c r="M19" s="31" t="n">
        <x:f>IFERROR(H19*I19/G19,0)</x:f>
        <x:v>0.934537879299507</x:v>
      </x:c>
      <x:c r="N19" s="31" t="n">
        <x:f>IFERROR(J19/I19,0)</x:f>
        <x:v>0.9784537389100126</x:v>
      </x:c>
      <x:c r="O19" s="31" t="n">
        <x:f>L19*M19*N19</x:f>
        <x:v>0.8334090909090909</x:v>
      </x:c>
      <x:c r="P19" s="24" t="n">
        <x:f>F19</x:f>
        <x:v>93535</x:v>
      </x:c>
      <x:c r="Q19" s="24" t="n">
        <x:f>G19-H19*I19</x:f>
        <x:v>63005</x:v>
      </x:c>
      <x:c r="R19" s="24" t="n">
        <x:f>H19*(I19-J19)</x:f>
        <x:v>19380</x:v>
      </x:c>
      <x:c r="S19" s="24" t="n">
        <x:f>H19*J19</x:f>
        <x:v>880080</x:v>
      </x:c>
      <x:c r="T19" s="24" t="n">
        <x:f>C19-P19-Q19-R19-S19</x:f>
        <x:v>0</x:v>
      </x:c>
      <x:c r="U19" s="34" t="str">
        <x:f>IF(ABS(T19)&lt;0.01,"OK","À vérifier")</x:f>
        <x:v>OK</x:v>
      </x:c>
    </x:row>
    <x:row r="20" ht="22" customHeight="1">
      <x:c r="A20" s="18" t="str">
        <x:f>Sources!A20</x:f>
        <x:v>ST60</x:v>
      </x:c>
      <x:c r="B20" s="18" t="str">
        <x:f>Sources!B20</x:f>
        <x:v>Contrôle qualité</x:v>
      </x:c>
      <x:c r="C20" s="20" t="n">
        <x:f>Sources!C20</x:f>
        <x:v>1056000</x:v>
      </x:c>
      <x:c r="D20" s="20" t="n">
        <x:f>Sources!D20</x:f>
        <x:v>67500</x:v>
      </x:c>
      <x:c r="E20" s="20" t="n">
        <x:f>Sources!E20</x:f>
        <x:v>5228</x:v>
      </x:c>
      <x:c r="F20" s="20" t="n">
        <x:f>D20+E20</x:f>
        <x:v>72728</x:v>
      </x:c>
      <x:c r="G20" s="20" t="n">
        <x:f>C20-F20</x:f>
        <x:v>983272</x:v>
      </x:c>
      <x:c r="H20" s="20" t="n">
        <x:f>Sources!F20</x:f>
        <x:v>200</x:v>
      </x:c>
      <x:c r="I20" s="20" t="n">
        <x:f>Sources!G20</x:f>
        <x:v>3148</x:v>
      </x:c>
      <x:c r="J20" s="20" t="n">
        <x:f>Sources!H20</x:f>
        <x:v>3108</x:v>
      </x:c>
      <x:c r="K20" s="20" t="n">
        <x:f>I20-J20</x:f>
        <x:v>40</x:v>
      </x:c>
      <x:c r="L20" s="30" t="n">
        <x:f>IFERROR(G20/C20,0)</x:f>
        <x:v>0.9311287878787878</x:v>
      </x:c>
      <x:c r="M20" s="30" t="n">
        <x:f>IFERROR(H20*I20/G20,0)</x:f>
        <x:v>0.6403111244904767</x:v>
      </x:c>
      <x:c r="N20" s="30" t="n">
        <x:f>IFERROR(J20/I20,0)</x:f>
        <x:v>0.9872935196950444</x:v>
      </x:c>
      <x:c r="O20" s="30" t="n">
        <x:f>L20*M20*N20</x:f>
        <x:v>0.5886363636363636</x:v>
      </x:c>
      <x:c r="P20" s="20" t="n">
        <x:f>F20</x:f>
        <x:v>72728</x:v>
      </x:c>
      <x:c r="Q20" s="20" t="n">
        <x:f>G20-H20*I20</x:f>
        <x:v>353672</x:v>
      </x:c>
      <x:c r="R20" s="20" t="n">
        <x:f>H20*(I20-J20)</x:f>
        <x:v>8000</x:v>
      </x:c>
      <x:c r="S20" s="20" t="n">
        <x:f>H20*J20</x:f>
        <x:v>621600</x:v>
      </x:c>
      <x:c r="T20" s="20" t="n">
        <x:f>C20-P20-Q20-R20-S20</x:f>
        <x:v>0</x:v>
      </x:c>
      <x:c r="U20" s="33" t="str">
        <x:f>IF(ABS(T20)&lt;0.01,"OK","À vérifier")</x:f>
        <x:v>OK</x:v>
      </x:c>
    </x:row>
    <x:row r="21" ht="22" customHeight="1">
      <x:c r="A21" s="18" t="str">
        <x:f>Sources!A21</x:f>
        <x:v>ST70</x:v>
      </x:c>
      <x:c r="B21" s="18" t="str">
        <x:f>Sources!B21</x:f>
        <x:v>Identification et conditionnement</x:v>
      </x:c>
      <x:c r="C21" s="20" t="n">
        <x:f>Sources!C21</x:f>
        <x:v>1056000</x:v>
      </x:c>
      <x:c r="D21" s="20" t="n">
        <x:f>Sources!D21</x:f>
        <x:v>66000</x:v>
      </x:c>
      <x:c r="E21" s="20" t="n">
        <x:f>Sources!E21</x:f>
        <x:v>1684</x:v>
      </x:c>
      <x:c r="F21" s="20" t="n">
        <x:f>D21+E21</x:f>
        <x:v>67684</x:v>
      </x:c>
      <x:c r="G21" s="20" t="n">
        <x:f>C21-F21</x:f>
        <x:v>988316</x:v>
      </x:c>
      <x:c r="H21" s="20" t="n">
        <x:f>Sources!F21</x:f>
        <x:v>160</x:v>
      </x:c>
      <x:c r="I21" s="20" t="n">
        <x:f>Sources!G21</x:f>
        <x:v>3144</x:v>
      </x:c>
      <x:c r="J21" s="20" t="n">
        <x:f>Sources!H21</x:f>
        <x:v>3144</x:v>
      </x:c>
      <x:c r="K21" s="20" t="n">
        <x:f>I21-J21</x:f>
        <x:v>0</x:v>
      </x:c>
      <x:c r="L21" s="30" t="n">
        <x:f>IFERROR(G21/C21,0)</x:f>
        <x:v>0.9359053030303031</x:v>
      </x:c>
      <x:c r="M21" s="30" t="n">
        <x:f>IFERROR(H21*I21/G21,0)</x:f>
        <x:v>0.5089870041565653</x:v>
      </x:c>
      <x:c r="N21" s="30" t="n">
        <x:f>IFERROR(J21/I21,0)</x:f>
        <x:v>1</x:v>
      </x:c>
      <x:c r="O21" s="30" t="n">
        <x:f>L21*M21*N21</x:f>
        <x:v>0.4763636363636364</x:v>
      </x:c>
      <x:c r="P21" s="20" t="n">
        <x:f>F21</x:f>
        <x:v>67684</x:v>
      </x:c>
      <x:c r="Q21" s="20" t="n">
        <x:f>G21-H21*I21</x:f>
        <x:v>485276</x:v>
      </x:c>
      <x:c r="R21" s="20" t="n">
        <x:f>H21*(I21-J21)</x:f>
        <x:v>0</x:v>
      </x:c>
      <x:c r="S21" s="20" t="n">
        <x:f>H21*J21</x:f>
        <x:v>503040</x:v>
      </x:c>
      <x:c r="T21" s="20" t="n">
        <x:f>C21-P21-Q21-R21-S21</x:f>
        <x:v>0</x:v>
      </x:c>
      <x:c r="U21" s="33" t="str">
        <x:f>IF(ABS(T21)&lt;0.01,"OK","À vérifier")</x:f>
        <x:v>OK</x:v>
      </x:c>
    </x:row>
    <x:row r="22" ht="22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8B8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1" hidden="0" customWidth="1"/>
    <x:col min="15" max="15" width="14" hidden="0" customWidth="1"/>
  </x:cols>
  <x:sheetData>
    <x:row r="1" ht="22" customHeight="1"/>
    <x:row r="2" ht="22" customHeight="1">
      <x:c r="A2" s="1" t="str">
        <x:v>EMA-120 - Tendance TRS du poste ST50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3" t="str">
        <x:v>Chaque ligne représente une équipe. Les quatre facteurs sont recalculés dans Excel à partir des entrées brutes.</x:v>
      </x:c>
    </x:row>
    <x:row r="5" ht="22" customHeight="1"/>
    <x:row r="6" ht="44" customHeight="1">
      <x:c r="A6" s="9" t="str">
        <x:v>Date</x:v>
      </x:c>
      <x:c r="B6" s="9" t="str">
        <x:v>Équipe</x:v>
      </x:c>
      <x:c r="C6" s="9" t="str">
        <x:v>Planifié (s)</x:v>
      </x:c>
      <x:c r="D6" s="9" t="str">
        <x:v>Arrêt planifié (s)</x:v>
      </x:c>
      <x:c r="E6" s="9" t="str">
        <x:v>Arrêt non planifié (s)</x:v>
      </x:c>
      <x:c r="F6" s="9" t="str">
        <x:v>Fonctionnement (s)</x:v>
      </x:c>
      <x:c r="G6" s="9" t="str">
        <x:v>Cycle idéal (s/u)</x:v>
      </x:c>
      <x:c r="H6" s="9" t="str">
        <x:v>Qté totale</x:v>
      </x:c>
      <x:c r="I6" s="9" t="str">
        <x:v>Qté bonne</x:v>
      </x:c>
      <x:c r="J6" s="9" t="str">
        <x:v>A</x:v>
      </x:c>
      <x:c r="K6" s="9" t="str">
        <x:v>P</x:v>
      </x:c>
      <x:c r="L6" s="9" t="str">
        <x:v>Q</x:v>
      </x:c>
      <x:c r="M6" s="9" t="str">
        <x:v>TRS</x:v>
      </x:c>
      <x:c r="N6" s="9" t="str">
        <x:v>Écart réconciliation (s)</x:v>
      </x:c>
      <x:c r="O6" s="9" t="str">
        <x:v>Statut</x:v>
      </x:c>
    </x:row>
    <x:row r="7" ht="22" customHeight="1">
      <x:c r="A7" s="17" t="str">
        <x:v>2027-01-11</x:v>
      </x:c>
      <x:c r="B7" s="17" t="str">
        <x:v>S1</x:v>
      </x:c>
      <x:c r="C7" s="19" t="n">
        <x:v>26400</x:v>
      </x:c>
      <x:c r="D7" s="19" t="n">
        <x:v>0</x:v>
      </x:c>
      <x:c r="E7" s="19" t="n">
        <x:v>1290</x:v>
      </x:c>
      <x:c r="F7" s="19" t="n">
        <x:f>C7-D7-E7</x:f>
        <x:v>25110</x:v>
      </x:c>
      <x:c r="G7" s="19" t="n">
        <x:f>285</x:f>
        <x:v>285</x:v>
      </x:c>
      <x:c r="H7" s="19" t="n">
        <x:f>83</x:f>
        <x:v>83</x:v>
      </x:c>
      <x:c r="I7" s="19" t="n">
        <x:f>82</x:f>
        <x:v>82</x:v>
      </x:c>
      <x:c r="J7" s="29" t="n">
        <x:f>IFERROR(F7/C7,0)</x:f>
        <x:v>0.9511363636363637</x:v>
      </x:c>
      <x:c r="K7" s="29" t="n">
        <x:f>IFERROR(G7*H7/F7,0)</x:f>
        <x:v>0.9420549581839904</x:v>
      </x:c>
      <x:c r="L7" s="29" t="n">
        <x:f>IFERROR(I7/H7,0)</x:f>
        <x:v>0.9879518072289156</x:v>
      </x:c>
      <x:c r="M7" s="29" t="n">
        <x:f>J7*K7*L7</x:f>
        <x:v>0.8852272727272726</x:v>
      </x:c>
      <x:c r="N7" s="19" t="n">
        <x:f>C7-(D7+E7)-(F7-G7*H7)-(G7*(H7-I7))-(G7*I7)</x:f>
        <x:v>0</x:v>
      </x:c>
      <x:c r="O7" s="32" t="str">
        <x:f>IF(ABS(N7)&lt;0.01,"OK","À vérifier")</x:f>
        <x:v>OK</x:v>
      </x:c>
    </x:row>
    <x:row r="8" ht="22" customHeight="1">
      <x:c r="A8" s="18" t="str">
        <x:v>2027-01-11</x:v>
      </x:c>
      <x:c r="B8" s="18" t="str">
        <x:v>S2</x:v>
      </x:c>
      <x:c r="C8" s="20" t="n">
        <x:v>26400</x:v>
      </x:c>
      <x:c r="D8" s="20" t="n">
        <x:v>1500</x:v>
      </x:c>
      <x:c r="E8" s="20" t="n">
        <x:v>749</x:v>
      </x:c>
      <x:c r="F8" s="20" t="n">
        <x:f>C8-D8-E8</x:f>
        <x:v>24151</x:v>
      </x:c>
      <x:c r="G8" s="20" t="n">
        <x:f>285</x:f>
        <x:v>285</x:v>
      </x:c>
      <x:c r="H8" s="20" t="n">
        <x:f>79</x:f>
        <x:v>79</x:v>
      </x:c>
      <x:c r="I8" s="20" t="n">
        <x:f>77</x:f>
        <x:v>77</x:v>
      </x:c>
      <x:c r="J8" s="30" t="n">
        <x:f>IFERROR(F8/C8,0)</x:f>
        <x:v>0.914810606060606</x:v>
      </x:c>
      <x:c r="K8" s="30" t="n">
        <x:f>IFERROR(G8*H8/F8,0)</x:f>
        <x:v>0.9322595337667178</x:v>
      </x:c>
      <x:c r="L8" s="30" t="n">
        <x:f>IFERROR(I8/H8,0)</x:f>
        <x:v>0.9746835443037974</x:v>
      </x:c>
      <x:c r="M8" s="30" t="n">
        <x:f>J8*K8*L8</x:f>
        <x:v>0.83125</x:v>
      </x:c>
      <x:c r="N8" s="20" t="n">
        <x:f>C8-(D8+E8)-(F8-G8*H8)-(G8*(H8-I8))-(G8*I8)</x:f>
        <x:v>0</x:v>
      </x:c>
      <x:c r="O8" s="33" t="str">
        <x:f>IF(ABS(N8)&lt;0.01,"OK","À vérifier")</x:f>
        <x:v>OK</x:v>
      </x:c>
    </x:row>
    <x:row r="9" ht="22" customHeight="1">
      <x:c r="A9" s="18" t="str">
        <x:v>2027-01-12</x:v>
      </x:c>
      <x:c r="B9" s="18" t="str">
        <x:v>S1</x:v>
      </x:c>
      <x:c r="C9" s="20" t="n">
        <x:v>26400</x:v>
      </x:c>
      <x:c r="D9" s="20" t="n">
        <x:v>3000</x:v>
      </x:c>
      <x:c r="E9" s="20" t="n">
        <x:v>305</x:v>
      </x:c>
      <x:c r="F9" s="20" t="n">
        <x:f>C9-D9-E9</x:f>
        <x:v>23095</x:v>
      </x:c>
      <x:c r="G9" s="20" t="n">
        <x:f>285</x:f>
        <x:v>285</x:v>
      </x:c>
      <x:c r="H9" s="20" t="n">
        <x:f>77</x:f>
        <x:v>77</x:v>
      </x:c>
      <x:c r="I9" s="20" t="n">
        <x:f>77</x:f>
        <x:v>77</x:v>
      </x:c>
      <x:c r="J9" s="30" t="n">
        <x:f>IFERROR(F9/C9,0)</x:f>
        <x:v>0.874810606060606</x:v>
      </x:c>
      <x:c r="K9" s="30" t="n">
        <x:f>IFERROR(G9*H9/F9,0)</x:f>
        <x:v>0.950205672223425</x:v>
      </x:c>
      <x:c r="L9" s="30" t="n">
        <x:f>IFERROR(I9/H9,0)</x:f>
        <x:v>1</x:v>
      </x:c>
      <x:c r="M9" s="30" t="n">
        <x:f>J9*K9*L9</x:f>
        <x:v>0.8312499999999999</x:v>
      </x:c>
      <x:c r="N9" s="20" t="n">
        <x:f>C9-(D9+E9)-(F9-G9*H9)-(G9*(H9-I9))-(G9*I9)</x:f>
        <x:v>0</x:v>
      </x:c>
      <x:c r="O9" s="33" t="str">
        <x:f>IF(ABS(N9)&lt;0.01,"OK","À vérifier")</x:f>
        <x:v>OK</x:v>
      </x:c>
    </x:row>
    <x:row r="10" ht="22" customHeight="1">
      <x:c r="A10" s="18" t="str">
        <x:v>2027-01-12</x:v>
      </x:c>
      <x:c r="B10" s="18" t="str">
        <x:v>S2</x:v>
      </x:c>
      <x:c r="C10" s="20" t="n">
        <x:v>26400</x:v>
      </x:c>
      <x:c r="D10" s="20" t="n">
        <x:v>1500</x:v>
      </x:c>
      <x:c r="E10" s="20" t="n">
        <x:v>842</x:v>
      </x:c>
      <x:c r="F10" s="20" t="n">
        <x:f>C10-D10-E10</x:f>
        <x:v>24058</x:v>
      </x:c>
      <x:c r="G10" s="20" t="n">
        <x:f>285</x:f>
        <x:v>285</x:v>
      </x:c>
      <x:c r="H10" s="20" t="n">
        <x:f>80</x:f>
        <x:v>80</x:v>
      </x:c>
      <x:c r="I10" s="20" t="n">
        <x:f>77</x:f>
        <x:v>77</x:v>
      </x:c>
      <x:c r="J10" s="30" t="n">
        <x:f>IFERROR(F10/C10,0)</x:f>
        <x:v>0.9112878787878788</x:v>
      </x:c>
      <x:c r="K10" s="30" t="n">
        <x:f>IFERROR(G10*H10/F10,0)</x:f>
        <x:v>0.9477097015545765</x:v>
      </x:c>
      <x:c r="L10" s="30" t="n">
        <x:f>IFERROR(I10/H10,0)</x:f>
        <x:v>0.9625</x:v>
      </x:c>
      <x:c r="M10" s="30" t="n">
        <x:f>J10*K10*L10</x:f>
        <x:v>0.83125</x:v>
      </x:c>
      <x:c r="N10" s="20" t="n">
        <x:f>C10-(D10+E10)-(F10-G10*H10)-(G10*(H10-I10))-(G10*I10)</x:f>
        <x:v>0</x:v>
      </x:c>
      <x:c r="O10" s="33" t="str">
        <x:f>IF(ABS(N10)&lt;0.01,"OK","À vérifier")</x:f>
        <x:v>OK</x:v>
      </x:c>
    </x:row>
    <x:row r="11" ht="22" customHeight="1">
      <x:c r="A11" s="18" t="str">
        <x:v>2027-01-13</x:v>
      </x:c>
      <x:c r="B11" s="18" t="str">
        <x:v>S1</x:v>
      </x:c>
      <x:c r="C11" s="20" t="n">
        <x:v>26400</x:v>
      </x:c>
      <x:c r="D11" s="20" t="n">
        <x:v>1500</x:v>
      </x:c>
      <x:c r="E11" s="20" t="n">
        <x:v>600</x:v>
      </x:c>
      <x:c r="F11" s="20" t="n">
        <x:f>C11-D11-E11</x:f>
        <x:v>24300</x:v>
      </x:c>
      <x:c r="G11" s="20" t="n">
        <x:f>285</x:f>
        <x:v>285</x:v>
      </x:c>
      <x:c r="H11" s="20" t="n">
        <x:f>78</x:f>
        <x:v>78</x:v>
      </x:c>
      <x:c r="I11" s="20" t="n">
        <x:f>76</x:f>
        <x:v>76</x:v>
      </x:c>
      <x:c r="J11" s="30" t="n">
        <x:f>IFERROR(F11/C11,0)</x:f>
        <x:v>0.9204545454545454</x:v>
      </x:c>
      <x:c r="K11" s="30" t="n">
        <x:f>IFERROR(G11*H11/F11,0)</x:f>
        <x:v>0.9148148148148149</x:v>
      </x:c>
      <x:c r="L11" s="30" t="n">
        <x:f>IFERROR(I11/H11,0)</x:f>
        <x:v>0.9743589743589743</x:v>
      </x:c>
      <x:c r="M11" s="30" t="n">
        <x:f>J11*K11*L11</x:f>
        <x:v>0.8204545454545454</x:v>
      </x:c>
      <x:c r="N11" s="20" t="n">
        <x:f>C11-(D11+E11)-(F11-G11*H11)-(G11*(H11-I11))-(G11*I11)</x:f>
        <x:v>0</x:v>
      </x:c>
      <x:c r="O11" s="33" t="str">
        <x:f>IF(ABS(N11)&lt;0.01,"OK","À vérifier")</x:f>
        <x:v>OK</x:v>
      </x:c>
    </x:row>
    <x:row r="12" ht="22" customHeight="1">
      <x:c r="A12" s="18" t="str">
        <x:v>2027-01-13</x:v>
      </x:c>
      <x:c r="B12" s="18" t="str">
        <x:v>S2</x:v>
      </x:c>
      <x:c r="C12" s="20" t="n">
        <x:v>26400</x:v>
      </x:c>
      <x:c r="D12" s="20" t="n">
        <x:v>1500</x:v>
      </x:c>
      <x:c r="E12" s="20" t="n">
        <x:v>674</x:v>
      </x:c>
      <x:c r="F12" s="20" t="n">
        <x:f>C12-D12-E12</x:f>
        <x:v>24226</x:v>
      </x:c>
      <x:c r="G12" s="20" t="n">
        <x:f>285</x:f>
        <x:v>285</x:v>
      </x:c>
      <x:c r="H12" s="20" t="n">
        <x:f>80</x:f>
        <x:v>80</x:v>
      </x:c>
      <x:c r="I12" s="20" t="n">
        <x:f>78</x:f>
        <x:v>78</x:v>
      </x:c>
      <x:c r="J12" s="30" t="n">
        <x:f>IFERROR(F12/C12,0)</x:f>
        <x:v>0.9176515151515151</x:v>
      </x:c>
      <x:c r="K12" s="30" t="n">
        <x:f>IFERROR(G12*H12/F12,0)</x:f>
        <x:v>0.9411376207380501</x:v>
      </x:c>
      <x:c r="L12" s="30" t="n">
        <x:f>IFERROR(I12/H12,0)</x:f>
        <x:v>0.975</x:v>
      </x:c>
      <x:c r="M12" s="30" t="n">
        <x:f>J12*K12*L12</x:f>
        <x:v>0.8420454545454545</x:v>
      </x:c>
      <x:c r="N12" s="20" t="n">
        <x:f>C12-(D12+E12)-(F12-G12*H12)-(G12*(H12-I12))-(G12*I12)</x:f>
        <x:v>0</x:v>
      </x:c>
      <x:c r="O12" s="33" t="str">
        <x:f>IF(ABS(N12)&lt;0.01,"OK","À vérifier")</x:f>
        <x:v>OK</x:v>
      </x:c>
    </x:row>
    <x:row r="13" ht="22" customHeight="1">
      <x:c r="A13" s="18" t="str">
        <x:v>2027-01-14</x:v>
      </x:c>
      <x:c r="B13" s="18" t="str">
        <x:v>S1</x:v>
      </x:c>
      <x:c r="C13" s="20" t="n">
        <x:v>26400</x:v>
      </x:c>
      <x:c r="D13" s="20" t="n">
        <x:v>1500</x:v>
      </x:c>
      <x:c r="E13" s="20" t="n">
        <x:v>625</x:v>
      </x:c>
      <x:c r="F13" s="20" t="n">
        <x:f>C13-D13-E13</x:f>
        <x:v>24275</x:v>
      </x:c>
      <x:c r="G13" s="20" t="n">
        <x:f>285</x:f>
        <x:v>285</x:v>
      </x:c>
      <x:c r="H13" s="20" t="n">
        <x:f>81</x:f>
        <x:v>81</x:v>
      </x:c>
      <x:c r="I13" s="20" t="n">
        <x:f>80</x:f>
        <x:v>80</x:v>
      </x:c>
      <x:c r="J13" s="30" t="n">
        <x:f>IFERROR(F13/C13,0)</x:f>
        <x:v>0.9195075757575758</x:v>
      </x:c>
      <x:c r="K13" s="30" t="n">
        <x:f>IFERROR(G13*H13/F13,0)</x:f>
        <x:v>0.9509783728115345</x:v>
      </x:c>
      <x:c r="L13" s="30" t="n">
        <x:f>IFERROR(I13/H13,0)</x:f>
        <x:v>0.9876543209876543</x:v>
      </x:c>
      <x:c r="M13" s="30" t="n">
        <x:f>J13*K13*L13</x:f>
        <x:v>0.8636363636363636</x:v>
      </x:c>
      <x:c r="N13" s="20" t="n">
        <x:f>C13-(D13+E13)-(F13-G13*H13)-(G13*(H13-I13))-(G13*I13)</x:f>
        <x:v>0</x:v>
      </x:c>
      <x:c r="O13" s="33" t="str">
        <x:f>IF(ABS(N13)&lt;0.01,"OK","À vérifier")</x:f>
        <x:v>OK</x:v>
      </x:c>
    </x:row>
    <x:row r="14" ht="22" customHeight="1">
      <x:c r="A14" s="18" t="str">
        <x:v>2027-01-14</x:v>
      </x:c>
      <x:c r="B14" s="18" t="str">
        <x:v>S2</x:v>
      </x:c>
      <x:c r="C14" s="20" t="n">
        <x:v>26400</x:v>
      </x:c>
      <x:c r="D14" s="20" t="n">
        <x:v>1500</x:v>
      </x:c>
      <x:c r="E14" s="20" t="n">
        <x:v>319</x:v>
      </x:c>
      <x:c r="F14" s="20" t="n">
        <x:f>C14-D14-E14</x:f>
        <x:v>24581</x:v>
      </x:c>
      <x:c r="G14" s="20" t="n">
        <x:f>285</x:f>
        <x:v>285</x:v>
      </x:c>
      <x:c r="H14" s="20" t="n">
        <x:f>72</x:f>
        <x:v>72</x:v>
      </x:c>
      <x:c r="I14" s="20" t="n">
        <x:f>68</x:f>
        <x:v>68</x:v>
      </x:c>
      <x:c r="J14" s="30" t="n">
        <x:f>IFERROR(F14/C14,0)</x:f>
        <x:v>0.9310984848484849</x:v>
      </x:c>
      <x:c r="K14" s="30" t="n">
        <x:f>IFERROR(G14*H14/F14,0)</x:f>
        <x:v>0.8347910988161589</x:v>
      </x:c>
      <x:c r="L14" s="30" t="n">
        <x:f>IFERROR(I14/H14,0)</x:f>
        <x:v>0.9444444444444444</x:v>
      </x:c>
      <x:c r="M14" s="30" t="n">
        <x:f>J14*K14*L14</x:f>
        <x:v>0.7340909090909091</x:v>
      </x:c>
      <x:c r="N14" s="20" t="n">
        <x:f>C14-(D14+E14)-(F14-G14*H14)-(G14*(H14-I14))-(G14*I14)</x:f>
        <x:v>0</x:v>
      </x:c>
      <x:c r="O14" s="33" t="str">
        <x:f>IF(ABS(N14)&lt;0.01,"OK","À vérifier")</x:f>
        <x:v>OK</x:v>
      </x:c>
    </x:row>
    <x:row r="15" ht="22" customHeight="1">
      <x:c r="A15" s="18" t="str">
        <x:v>2027-01-15</x:v>
      </x:c>
      <x:c r="B15" s="18" t="str">
        <x:v>S1</x:v>
      </x:c>
      <x:c r="C15" s="20" t="n">
        <x:v>26400</x:v>
      </x:c>
      <x:c r="D15" s="20" t="n">
        <x:v>1500</x:v>
      </x:c>
      <x:c r="E15" s="20" t="n">
        <x:v>490</x:v>
      </x:c>
      <x:c r="F15" s="20" t="n">
        <x:f>C15-D15-E15</x:f>
        <x:v>24410</x:v>
      </x:c>
      <x:c r="G15" s="20" t="n">
        <x:f>285</x:f>
        <x:v>285</x:v>
      </x:c>
      <x:c r="H15" s="20" t="n">
        <x:f>83</x:f>
        <x:v>83</x:v>
      </x:c>
      <x:c r="I15" s="20" t="n">
        <x:f>81</x:f>
        <x:v>81</x:v>
      </x:c>
      <x:c r="J15" s="30" t="n">
        <x:f>IFERROR(F15/C15,0)</x:f>
        <x:v>0.9246212121212121</x:v>
      </x:c>
      <x:c r="K15" s="30" t="n">
        <x:f>IFERROR(G15*H15/F15,0)</x:f>
        <x:v>0.9690700532568619</x:v>
      </x:c>
      <x:c r="L15" s="30" t="n">
        <x:f>IFERROR(I15/H15,0)</x:f>
        <x:v>0.9759036144578314</x:v>
      </x:c>
      <x:c r="M15" s="30" t="n">
        <x:f>J15*K15*L15</x:f>
        <x:v>0.874431818181818</x:v>
      </x:c>
      <x:c r="N15" s="20" t="n">
        <x:f>C15-(D15+E15)-(F15-G15*H15)-(G15*(H15-I15))-(G15*I15)</x:f>
        <x:v>0</x:v>
      </x:c>
      <x:c r="O15" s="33" t="str">
        <x:f>IF(ABS(N15)&lt;0.01,"OK","À vérifier")</x:f>
        <x:v>OK</x:v>
      </x:c>
    </x:row>
    <x:row r="16" ht="22" customHeight="1">
      <x:c r="A16" s="18" t="str">
        <x:v>2027-01-15</x:v>
      </x:c>
      <x:c r="B16" s="18" t="str">
        <x:v>S2</x:v>
      </x:c>
      <x:c r="C16" s="20" t="n">
        <x:v>26400</x:v>
      </x:c>
      <x:c r="D16" s="20" t="n">
        <x:v>1500</x:v>
      </x:c>
      <x:c r="E16" s="20" t="n">
        <x:v>777</x:v>
      </x:c>
      <x:c r="F16" s="20" t="n">
        <x:f>C16-D16-E16</x:f>
        <x:v>24123</x:v>
      </x:c>
      <x:c r="G16" s="20" t="n">
        <x:f>285</x:f>
        <x:v>285</x:v>
      </x:c>
      <x:c r="H16" s="20" t="n">
        <x:f>77</x:f>
        <x:v>77</x:v>
      </x:c>
      <x:c r="I16" s="20" t="n">
        <x:f>74</x:f>
        <x:v>74</x:v>
      </x:c>
      <x:c r="J16" s="30" t="n">
        <x:f>IFERROR(F16/C16,0)</x:f>
        <x:v>0.91375</x:v>
      </x:c>
      <x:c r="K16" s="30" t="n">
        <x:f>IFERROR(G16*H16/F16,0)</x:f>
        <x:v>0.9097127222982216</x:v>
      </x:c>
      <x:c r="L16" s="30" t="n">
        <x:f>IFERROR(I16/H16,0)</x:f>
        <x:v>0.961038961038961</x:v>
      </x:c>
      <x:c r="M16" s="30" t="n">
        <x:f>J16*K16*L16</x:f>
        <x:v>0.7988636363636363</x:v>
      </x:c>
      <x:c r="N16" s="20" t="n">
        <x:f>C16-(D16+E16)-(F16-G16*H16)-(G16*(H16-I16))-(G16*I16)</x:f>
        <x:v>0</x:v>
      </x:c>
      <x:c r="O16" s="33" t="str">
        <x:f>IF(ABS(N16)&lt;0.01,"OK","À vérifier")</x:f>
        <x:v>OK</x:v>
      </x:c>
    </x:row>
    <x:row r="17" ht="22" customHeight="1">
      <x:c r="A17" s="18" t="str">
        <x:v>2027-01-18</x:v>
      </x:c>
      <x:c r="B17" s="18" t="str">
        <x:v>S1</x:v>
      </x:c>
      <x:c r="C17" s="20" t="n">
        <x:v>26400</x:v>
      </x:c>
      <x:c r="D17" s="20" t="n">
        <x:v>3000</x:v>
      </x:c>
      <x:c r="E17" s="20" t="n">
        <x:v>993</x:v>
      </x:c>
      <x:c r="F17" s="20" t="n">
        <x:f>C17-D17-E17</x:f>
        <x:v>22407</x:v>
      </x:c>
      <x:c r="G17" s="20" t="n">
        <x:f>285</x:f>
        <x:v>285</x:v>
      </x:c>
      <x:c r="H17" s="20" t="n">
        <x:f>70</x:f>
        <x:v>70</x:v>
      </x:c>
      <x:c r="I17" s="20" t="n">
        <x:f>66</x:f>
        <x:v>66</x:v>
      </x:c>
      <x:c r="J17" s="30" t="n">
        <x:f>IFERROR(F17/C17,0)</x:f>
        <x:v>0.84875</x:v>
      </x:c>
      <x:c r="K17" s="30" t="n">
        <x:f>IFERROR(G17*H17/F17,0)</x:f>
        <x:v>0.8903467666354264</x:v>
      </x:c>
      <x:c r="L17" s="30" t="n">
        <x:f>IFERROR(I17/H17,0)</x:f>
        <x:v>0.9428571428571428</x:v>
      </x:c>
      <x:c r="M17" s="30" t="n">
        <x:f>J17*K17*L17</x:f>
        <x:v>0.7125</x:v>
      </x:c>
      <x:c r="N17" s="20" t="n">
        <x:f>C17-(D17+E17)-(F17-G17*H17)-(G17*(H17-I17))-(G17*I17)</x:f>
        <x:v>0</x:v>
      </x:c>
      <x:c r="O17" s="33" t="str">
        <x:f>IF(ABS(N17)&lt;0.01,"OK","À vérifier")</x:f>
        <x:v>OK</x:v>
      </x:c>
    </x:row>
    <x:row r="18" ht="22" customHeight="1">
      <x:c r="A18" s="18" t="str">
        <x:v>2027-01-18</x:v>
      </x:c>
      <x:c r="B18" s="18" t="str">
        <x:v>S2</x:v>
      </x:c>
      <x:c r="C18" s="20" t="n">
        <x:v>26400</x:v>
      </x:c>
      <x:c r="D18" s="20" t="n">
        <x:v>0</x:v>
      </x:c>
      <x:c r="E18" s="20" t="n">
        <x:v>273</x:v>
      </x:c>
      <x:c r="F18" s="20" t="n">
        <x:f>C18-D18-E18</x:f>
        <x:v>26127</x:v>
      </x:c>
      <x:c r="G18" s="20" t="n">
        <x:f>285</x:f>
        <x:v>285</x:v>
      </x:c>
      <x:c r="H18" s="20" t="n">
        <x:f>85</x:f>
        <x:v>85</x:v>
      </x:c>
      <x:c r="I18" s="20" t="n">
        <x:f>83</x:f>
        <x:v>83</x:v>
      </x:c>
      <x:c r="J18" s="30" t="n">
        <x:f>IFERROR(F18/C18,0)</x:f>
        <x:v>0.9896590909090909</x:v>
      </x:c>
      <x:c r="K18" s="30" t="n">
        <x:f>IFERROR(G18*H18/F18,0)</x:f>
        <x:v>0.9272017453209324</x:v>
      </x:c>
      <x:c r="L18" s="30" t="n">
        <x:f>IFERROR(I18/H18,0)</x:f>
        <x:v>0.9764705882352941</x:v>
      </x:c>
      <x:c r="M18" s="30" t="n">
        <x:f>J18*K18*L18</x:f>
        <x:v>0.8960227272727272</x:v>
      </x:c>
      <x:c r="N18" s="20" t="n">
        <x:f>C18-(D18+E18)-(F18-G18*H18)-(G18*(H18-I18))-(G18*I18)</x:f>
        <x:v>0</x:v>
      </x:c>
      <x:c r="O18" s="33" t="str">
        <x:f>IF(ABS(N18)&lt;0.01,"OK","À vérifier")</x:f>
        <x:v>OK</x:v>
      </x:c>
    </x:row>
    <x:row r="19" ht="22" customHeight="1">
      <x:c r="A19" s="18" t="str">
        <x:v>2027-01-19</x:v>
      </x:c>
      <x:c r="B19" s="18" t="str">
        <x:v>S1</x:v>
      </x:c>
      <x:c r="C19" s="20" t="n">
        <x:v>26400</x:v>
      </x:c>
      <x:c r="D19" s="20" t="n">
        <x:v>3000</x:v>
      </x:c>
      <x:c r="E19" s="20" t="n">
        <x:v>297</x:v>
      </x:c>
      <x:c r="F19" s="20" t="n">
        <x:f>C19-D19-E19</x:f>
        <x:v>23103</x:v>
      </x:c>
      <x:c r="G19" s="20" t="n">
        <x:f>285</x:f>
        <x:v>285</x:v>
      </x:c>
      <x:c r="H19" s="20" t="n">
        <x:f>75</x:f>
        <x:v>75</x:v>
      </x:c>
      <x:c r="I19" s="20" t="n">
        <x:f>73</x:f>
        <x:v>73</x:v>
      </x:c>
      <x:c r="J19" s="30" t="n">
        <x:f>IFERROR(F19/C19,0)</x:f>
        <x:v>0.8751136363636364</x:v>
      </x:c>
      <x:c r="K19" s="30" t="n">
        <x:f>IFERROR(G19*H19/F19,0)</x:f>
        <x:v>0.9252045188936502</x:v>
      </x:c>
      <x:c r="L19" s="30" t="n">
        <x:f>IFERROR(I19/H19,0)</x:f>
        <x:v>0.9733333333333334</x:v>
      </x:c>
      <x:c r="M19" s="30" t="n">
        <x:f>J19*K19*L19</x:f>
        <x:v>0.7880681818181818</x:v>
      </x:c>
      <x:c r="N19" s="20" t="n">
        <x:f>C19-(D19+E19)-(F19-G19*H19)-(G19*(H19-I19))-(G19*I19)</x:f>
        <x:v>0</x:v>
      </x:c>
      <x:c r="O19" s="33" t="str">
        <x:f>IF(ABS(N19)&lt;0.01,"OK","À vérifier")</x:f>
        <x:v>OK</x:v>
      </x:c>
    </x:row>
    <x:row r="20" ht="22" customHeight="1">
      <x:c r="A20" s="18" t="str">
        <x:v>2027-01-19</x:v>
      </x:c>
      <x:c r="B20" s="18" t="str">
        <x:v>S2</x:v>
      </x:c>
      <x:c r="C20" s="20" t="n">
        <x:v>26400</x:v>
      </x:c>
      <x:c r="D20" s="20" t="n">
        <x:v>1500</x:v>
      </x:c>
      <x:c r="E20" s="20" t="n">
        <x:v>365</x:v>
      </x:c>
      <x:c r="F20" s="20" t="n">
        <x:f>C20-D20-E20</x:f>
        <x:v>24535</x:v>
      </x:c>
      <x:c r="G20" s="20" t="n">
        <x:f>285</x:f>
        <x:v>285</x:v>
      </x:c>
      <x:c r="H20" s="20" t="n">
        <x:f>83</x:f>
        <x:v>83</x:v>
      </x:c>
      <x:c r="I20" s="20" t="n">
        <x:f>83</x:f>
        <x:v>83</x:v>
      </x:c>
      <x:c r="J20" s="30" t="n">
        <x:f>IFERROR(F20/C20,0)</x:f>
        <x:v>0.9293560606060606</x:v>
      </x:c>
      <x:c r="K20" s="30" t="n">
        <x:f>IFERROR(G20*H20/F20,0)</x:f>
        <x:v>0.9641328714081924</x:v>
      </x:c>
      <x:c r="L20" s="30" t="n">
        <x:f>IFERROR(I20/H20,0)</x:f>
        <x:v>1</x:v>
      </x:c>
      <x:c r="M20" s="30" t="n">
        <x:f>J20*K20*L20</x:f>
        <x:v>0.8960227272727272</x:v>
      </x:c>
      <x:c r="N20" s="20" t="n">
        <x:f>C20-(D20+E20)-(F20-G20*H20)-(G20*(H20-I20))-(G20*I20)</x:f>
        <x:v>0</x:v>
      </x:c>
      <x:c r="O20" s="33" t="str">
        <x:f>IF(ABS(N20)&lt;0.01,"OK","À vérifier")</x:f>
        <x:v>OK</x:v>
      </x:c>
    </x:row>
    <x:row r="21" ht="22" customHeight="1">
      <x:c r="A21" s="18" t="str">
        <x:v>2027-01-20</x:v>
      </x:c>
      <x:c r="B21" s="18" t="str">
        <x:v>S1</x:v>
      </x:c>
      <x:c r="C21" s="20" t="n">
        <x:v>26400</x:v>
      </x:c>
      <x:c r="D21" s="20" t="n">
        <x:v>1500</x:v>
      </x:c>
      <x:c r="E21" s="20" t="n">
        <x:v>745</x:v>
      </x:c>
      <x:c r="F21" s="20" t="n">
        <x:f>C21-D21-E21</x:f>
        <x:v>24155</x:v>
      </x:c>
      <x:c r="G21" s="20" t="n">
        <x:f>285</x:f>
        <x:v>285</x:v>
      </x:c>
      <x:c r="H21" s="20" t="n">
        <x:f>80</x:f>
        <x:v>80</x:v>
      </x:c>
      <x:c r="I21" s="20" t="n">
        <x:f>78</x:f>
        <x:v>78</x:v>
      </x:c>
      <x:c r="J21" s="30" t="n">
        <x:f>IFERROR(F21/C21,0)</x:f>
        <x:v>0.9149621212121212</x:v>
      </x:c>
      <x:c r="K21" s="30" t="n">
        <x:f>IFERROR(G21*H21/F21,0)</x:f>
        <x:v>0.9439039536327882</x:v>
      </x:c>
      <x:c r="L21" s="30" t="n">
        <x:f>IFERROR(I21/H21,0)</x:f>
        <x:v>0.975</x:v>
      </x:c>
      <x:c r="M21" s="30" t="n">
        <x:f>J21*K21*L21</x:f>
        <x:v>0.8420454545454544</x:v>
      </x:c>
      <x:c r="N21" s="20" t="n">
        <x:f>C21-(D21+E21)-(F21-G21*H21)-(G21*(H21-I21))-(G21*I21)</x:f>
        <x:v>0</x:v>
      </x:c>
      <x:c r="O21" s="33" t="str">
        <x:f>IF(ABS(N21)&lt;0.01,"OK","À vérifier")</x:f>
        <x:v>OK</x:v>
      </x:c>
    </x:row>
    <x:row r="22" ht="22" customHeight="1">
      <x:c r="A22" s="18" t="str">
        <x:v>2027-01-20</x:v>
      </x:c>
      <x:c r="B22" s="18" t="str">
        <x:v>S2</x:v>
      </x:c>
      <x:c r="C22" s="20" t="n">
        <x:v>26400</x:v>
      </x:c>
      <x:c r="D22" s="20" t="n">
        <x:v>1500</x:v>
      </x:c>
      <x:c r="E22" s="20" t="n">
        <x:v>466</x:v>
      </x:c>
      <x:c r="F22" s="20" t="n">
        <x:f>C22-D22-E22</x:f>
        <x:v>24434</x:v>
      </x:c>
      <x:c r="G22" s="20" t="n">
        <x:f>285</x:f>
        <x:v>285</x:v>
      </x:c>
      <x:c r="H22" s="20" t="n">
        <x:f>77</x:f>
        <x:v>77</x:v>
      </x:c>
      <x:c r="I22" s="20" t="n">
        <x:f>75</x:f>
        <x:v>75</x:v>
      </x:c>
      <x:c r="J22" s="30" t="n">
        <x:f>IFERROR(F22/C22,0)</x:f>
        <x:v>0.925530303030303</x:v>
      </x:c>
      <x:c r="K22" s="30" t="n">
        <x:f>IFERROR(G22*H22/F22,0)</x:f>
        <x:v>0.8981337480559876</x:v>
      </x:c>
      <x:c r="L22" s="30" t="n">
        <x:f>IFERROR(I22/H22,0)</x:f>
        <x:v>0.974025974025974</x:v>
      </x:c>
      <x:c r="M22" s="30" t="n">
        <x:f>J22*K22*L22</x:f>
        <x:v>0.8096590909090909</x:v>
      </x:c>
      <x:c r="N22" s="20" t="n">
        <x:f>C22-(D22+E22)-(F22-G22*H22)-(G22*(H22-I22))-(G22*I22)</x:f>
        <x:v>0</x:v>
      </x:c>
      <x:c r="O22" s="33" t="str">
        <x:f>IF(ABS(N22)&lt;0.01,"OK","À vérifier")</x:f>
        <x:v>OK</x:v>
      </x:c>
    </x:row>
    <x:row r="23" ht="22" customHeight="1">
      <x:c r="A23" s="18" t="str">
        <x:v>2027-01-21</x:v>
      </x:c>
      <x:c r="B23" s="18" t="str">
        <x:v>S1</x:v>
      </x:c>
      <x:c r="C23" s="20" t="n">
        <x:v>26400</x:v>
      </x:c>
      <x:c r="D23" s="20" t="n">
        <x:v>1500</x:v>
      </x:c>
      <x:c r="E23" s="20" t="n">
        <x:v>354</x:v>
      </x:c>
      <x:c r="F23" s="20" t="n">
        <x:f>C23-D23-E23</x:f>
        <x:v>24546</x:v>
      </x:c>
      <x:c r="G23" s="20" t="n">
        <x:f>285</x:f>
        <x:v>285</x:v>
      </x:c>
      <x:c r="H23" s="20" t="n">
        <x:f>85</x:f>
        <x:v>85</x:v>
      </x:c>
      <x:c r="I23" s="20" t="n">
        <x:f>84</x:f>
        <x:v>84</x:v>
      </x:c>
      <x:c r="J23" s="30" t="n">
        <x:f>IFERROR(F23/C23,0)</x:f>
        <x:v>0.9297727272727273</x:v>
      </x:c>
      <x:c r="K23" s="30" t="n">
        <x:f>IFERROR(G23*H23/F23,0)</x:f>
        <x:v>0.9869225128330481</x:v>
      </x:c>
      <x:c r="L23" s="30" t="n">
        <x:f>IFERROR(I23/H23,0)</x:f>
        <x:v>0.9882352941176471</x:v>
      </x:c>
      <x:c r="M23" s="30" t="n">
        <x:f>J23*K23*L23</x:f>
        <x:v>0.9068181818181819</x:v>
      </x:c>
      <x:c r="N23" s="20" t="n">
        <x:f>C23-(D23+E23)-(F23-G23*H23)-(G23*(H23-I23))-(G23*I23)</x:f>
        <x:v>0</x:v>
      </x:c>
      <x:c r="O23" s="33" t="str">
        <x:f>IF(ABS(N23)&lt;0.01,"OK","À vérifier")</x:f>
        <x:v>OK</x:v>
      </x:c>
    </x:row>
    <x:row r="24" ht="22" customHeight="1">
      <x:c r="A24" s="18" t="str">
        <x:v>2027-01-21</x:v>
      </x:c>
      <x:c r="B24" s="18" t="str">
        <x:v>S2</x:v>
      </x:c>
      <x:c r="C24" s="20" t="n">
        <x:v>26400</x:v>
      </x:c>
      <x:c r="D24" s="20" t="n">
        <x:v>1500</x:v>
      </x:c>
      <x:c r="E24" s="20" t="n">
        <x:v>1532</x:v>
      </x:c>
      <x:c r="F24" s="20" t="n">
        <x:f>C24-D24-E24</x:f>
        <x:v>23368</x:v>
      </x:c>
      <x:c r="G24" s="20" t="n">
        <x:f>285</x:f>
        <x:v>285</x:v>
      </x:c>
      <x:c r="H24" s="20" t="n">
        <x:f>76</x:f>
        <x:v>76</x:v>
      </x:c>
      <x:c r="I24" s="20" t="n">
        <x:f>74</x:f>
        <x:v>74</x:v>
      </x:c>
      <x:c r="J24" s="30" t="n">
        <x:f>IFERROR(F24/C24,0)</x:f>
        <x:v>0.8851515151515151</x:v>
      </x:c>
      <x:c r="K24" s="30" t="n">
        <x:f>IFERROR(G24*H24/F24,0)</x:f>
        <x:v>0.9269085929476206</x:v>
      </x:c>
      <x:c r="L24" s="30" t="n">
        <x:f>IFERROR(I24/H24,0)</x:f>
        <x:v>0.9736842105263158</x:v>
      </x:c>
      <x:c r="M24" s="30" t="n">
        <x:f>J24*K24*L24</x:f>
        <x:v>0.7988636363636363</x:v>
      </x:c>
      <x:c r="N24" s="20" t="n">
        <x:f>C24-(D24+E24)-(F24-G24*H24)-(G24*(H24-I24))-(G24*I24)</x:f>
        <x:v>0</x:v>
      </x:c>
      <x:c r="O24" s="33" t="str">
        <x:f>IF(ABS(N24)&lt;0.01,"OK","À vérifier")</x:f>
        <x:v>OK</x:v>
      </x:c>
    </x:row>
    <x:row r="25" ht="22" customHeight="1">
      <x:c r="A25" s="18" t="str">
        <x:v>2027-01-22</x:v>
      </x:c>
      <x:c r="B25" s="18" t="str">
        <x:v>S1</x:v>
      </x:c>
      <x:c r="C25" s="20" t="n">
        <x:v>26400</x:v>
      </x:c>
      <x:c r="D25" s="20" t="n">
        <x:v>3000</x:v>
      </x:c>
      <x:c r="E25" s="20" t="n">
        <x:v>518</x:v>
      </x:c>
      <x:c r="F25" s="20" t="n">
        <x:f>C25-D25-E25</x:f>
        <x:v>22882</x:v>
      </x:c>
      <x:c r="G25" s="20" t="n">
        <x:f>285</x:f>
        <x:v>285</x:v>
      </x:c>
      <x:c r="H25" s="20" t="n">
        <x:f>74</x:f>
        <x:v>74</x:v>
      </x:c>
      <x:c r="I25" s="20" t="n">
        <x:f>72</x:f>
        <x:v>72</x:v>
      </x:c>
      <x:c r="J25" s="30" t="n">
        <x:f>IFERROR(F25/C25,0)</x:f>
        <x:v>0.8667424242424242</x:v>
      </x:c>
      <x:c r="K25" s="30" t="n">
        <x:f>IFERROR(G25*H25/F25,0)</x:f>
        <x:v>0.9216851673804737</x:v>
      </x:c>
      <x:c r="L25" s="30" t="n">
        <x:f>IFERROR(I25/H25,0)</x:f>
        <x:v>0.972972972972973</x:v>
      </x:c>
      <x:c r="M25" s="30" t="n">
        <x:f>J25*K25*L25</x:f>
        <x:v>0.7772727272727273</x:v>
      </x:c>
      <x:c r="N25" s="20" t="n">
        <x:f>C25-(D25+E25)-(F25-G25*H25)-(G25*(H25-I25))-(G25*I25)</x:f>
        <x:v>0</x:v>
      </x:c>
      <x:c r="O25" s="33" t="str">
        <x:f>IF(ABS(N25)&lt;0.01,"OK","À vérifier")</x:f>
        <x:v>OK</x:v>
      </x:c>
    </x:row>
    <x:row r="26" ht="22" customHeight="1">
      <x:c r="A26" s="18" t="str">
        <x:v>2027-01-22</x:v>
      </x:c>
      <x:c r="B26" s="18" t="str">
        <x:v>S2</x:v>
      </x:c>
      <x:c r="C26" s="20" t="n">
        <x:v>26400</x:v>
      </x:c>
      <x:c r="D26" s="20" t="n">
        <x:v>1500</x:v>
      </x:c>
      <x:c r="E26" s="20" t="n">
        <x:v>1415</x:v>
      </x:c>
      <x:c r="F26" s="20" t="n">
        <x:f>C26-D26-E26</x:f>
        <x:v>23485</x:v>
      </x:c>
      <x:c r="G26" s="20" t="n">
        <x:f>285</x:f>
        <x:v>285</x:v>
      </x:c>
      <x:c r="H26" s="20" t="n">
        <x:f>81</x:f>
        <x:v>81</x:v>
      </x:c>
      <x:c r="I26" s="20" t="n">
        <x:f>81</x:f>
        <x:v>81</x:v>
      </x:c>
      <x:c r="J26" s="30" t="n">
        <x:f>IFERROR(F26/C26,0)</x:f>
        <x:v>0.8895833333333333</x:v>
      </x:c>
      <x:c r="K26" s="30" t="n">
        <x:f>IFERROR(G26*H26/F26,0)</x:f>
        <x:v>0.9829678518203109</x:v>
      </x:c>
      <x:c r="L26" s="30" t="n">
        <x:f>IFERROR(I26/H26,0)</x:f>
        <x:v>1</x:v>
      </x:c>
      <x:c r="M26" s="30" t="n">
        <x:f>J26*K26*L26</x:f>
        <x:v>0.8744318181818181</x:v>
      </x:c>
      <x:c r="N26" s="20" t="n">
        <x:f>C26-(D26+E26)-(F26-G26*H26)-(G26*(H26-I26))-(G26*I26)</x:f>
        <x:v>0</x:v>
      </x:c>
      <x:c r="O26" s="33" t="str">
        <x:f>IF(ABS(N26)&lt;0.01,"OK","À vérifier")</x:f>
        <x:v>OK</x:v>
      </x:c>
    </x:row>
    <x:row r="27" ht="22" customHeight="1">
      <x:c r="A27" s="18" t="str">
        <x:v>2027-01-25</x:v>
      </x:c>
      <x:c r="B27" s="18" t="str">
        <x:v>S1</x:v>
      </x:c>
      <x:c r="C27" s="20" t="n">
        <x:v>26400</x:v>
      </x:c>
      <x:c r="D27" s="20" t="n">
        <x:v>1500</x:v>
      </x:c>
      <x:c r="E27" s="20" t="n">
        <x:v>284</x:v>
      </x:c>
      <x:c r="F27" s="20" t="n">
        <x:f>C27-D27-E27</x:f>
        <x:v>24616</x:v>
      </x:c>
      <x:c r="G27" s="20" t="n">
        <x:f>285</x:f>
        <x:v>285</x:v>
      </x:c>
      <x:c r="H27" s="20" t="n">
        <x:f>80</x:f>
        <x:v>80</x:v>
      </x:c>
      <x:c r="I27" s="20" t="n">
        <x:f>79</x:f>
        <x:v>79</x:v>
      </x:c>
      <x:c r="J27" s="30" t="n">
        <x:f>IFERROR(F27/C27,0)</x:f>
        <x:v>0.9324242424242424</x:v>
      </x:c>
      <x:c r="K27" s="30" t="n">
        <x:f>IFERROR(G27*H27/F27,0)</x:f>
        <x:v>0.9262268443288918</x:v>
      </x:c>
      <x:c r="L27" s="30" t="n">
        <x:f>IFERROR(I27/H27,0)</x:f>
        <x:v>0.9875</x:v>
      </x:c>
      <x:c r="M27" s="30" t="n">
        <x:f>J27*K27*L27</x:f>
        <x:v>0.8528409090909091</x:v>
      </x:c>
      <x:c r="N27" s="20" t="n">
        <x:f>C27-(D27+E27)-(F27-G27*H27)-(G27*(H27-I27))-(G27*I27)</x:f>
        <x:v>0</x:v>
      </x:c>
      <x:c r="O27" s="33" t="str">
        <x:f>IF(ABS(N27)&lt;0.01,"OK","À vérifier")</x:f>
        <x:v>OK</x:v>
      </x:c>
    </x:row>
    <x:row r="28" ht="22" customHeight="1">
      <x:c r="A28" s="18" t="str">
        <x:v>2027-01-25</x:v>
      </x:c>
      <x:c r="B28" s="18" t="str">
        <x:v>S2</x:v>
      </x:c>
      <x:c r="C28" s="20" t="n">
        <x:v>26400</x:v>
      </x:c>
      <x:c r="D28" s="20" t="n">
        <x:v>1500</x:v>
      </x:c>
      <x:c r="E28" s="20" t="n">
        <x:v>494</x:v>
      </x:c>
      <x:c r="F28" s="20" t="n">
        <x:f>C28-D28-E28</x:f>
        <x:v>24406</x:v>
      </x:c>
      <x:c r="G28" s="20" t="n">
        <x:f>285</x:f>
        <x:v>285</x:v>
      </x:c>
      <x:c r="H28" s="20" t="n">
        <x:f>82</x:f>
        <x:v>82</x:v>
      </x:c>
      <x:c r="I28" s="20" t="n">
        <x:f>81</x:f>
        <x:v>81</x:v>
      </x:c>
      <x:c r="J28" s="30" t="n">
        <x:f>IFERROR(F28/C28,0)</x:f>
        <x:v>0.9244696969696969</x:v>
      </x:c>
      <x:c r="K28" s="30" t="n">
        <x:f>IFERROR(G28*H28/F28,0)</x:f>
        <x:v>0.9575514217815291</x:v>
      </x:c>
      <x:c r="L28" s="30" t="n">
        <x:f>IFERROR(I28/H28,0)</x:f>
        <x:v>0.9878048780487805</x:v>
      </x:c>
      <x:c r="M28" s="30" t="n">
        <x:f>J28*K28*L28</x:f>
        <x:v>0.874431818181818</x:v>
      </x:c>
      <x:c r="N28" s="20" t="n">
        <x:f>C28-(D28+E28)-(F28-G28*H28)-(G28*(H28-I28))-(G28*I28)</x:f>
        <x:v>0</x:v>
      </x:c>
      <x:c r="O28" s="33" t="str">
        <x:f>IF(ABS(N28)&lt;0.01,"OK","À vérifier")</x:f>
        <x:v>OK</x:v>
      </x:c>
    </x:row>
    <x:row r="29" ht="22" customHeight="1">
      <x:c r="A29" s="18" t="str">
        <x:v>2027-01-26</x:v>
      </x:c>
      <x:c r="B29" s="18" t="str">
        <x:v>S1</x:v>
      </x:c>
      <x:c r="C29" s="20" t="n">
        <x:v>26400</x:v>
      </x:c>
      <x:c r="D29" s="20" t="n">
        <x:v>1500</x:v>
      </x:c>
      <x:c r="E29" s="20" t="n">
        <x:v>1241</x:v>
      </x:c>
      <x:c r="F29" s="20" t="n">
        <x:f>C29-D29-E29</x:f>
        <x:v>23659</x:v>
      </x:c>
      <x:c r="G29" s="20" t="n">
        <x:f>285</x:f>
        <x:v>285</x:v>
      </x:c>
      <x:c r="H29" s="20" t="n">
        <x:f>79</x:f>
        <x:v>79</x:v>
      </x:c>
      <x:c r="I29" s="20" t="n">
        <x:f>78</x:f>
        <x:v>78</x:v>
      </x:c>
      <x:c r="J29" s="30" t="n">
        <x:f>IFERROR(F29/C29,0)</x:f>
        <x:v>0.8961742424242424</x:v>
      </x:c>
      <x:c r="K29" s="30" t="n">
        <x:f>IFERROR(G29*H29/F29,0)</x:f>
        <x:v>0.9516463079589162</x:v>
      </x:c>
      <x:c r="L29" s="30" t="n">
        <x:f>IFERROR(I29/H29,0)</x:f>
        <x:v>0.9873417721518988</x:v>
      </x:c>
      <x:c r="M29" s="30" t="n">
        <x:f>J29*K29*L29</x:f>
        <x:v>0.8420454545454545</x:v>
      </x:c>
      <x:c r="N29" s="20" t="n">
        <x:f>C29-(D29+E29)-(F29-G29*H29)-(G29*(H29-I29))-(G29*I29)</x:f>
        <x:v>0</x:v>
      </x:c>
      <x:c r="O29" s="33" t="str">
        <x:f>IF(ABS(N29)&lt;0.01,"OK","À vérifier")</x:f>
        <x:v>OK</x:v>
      </x:c>
    </x:row>
    <x:row r="30" ht="22" customHeight="1">
      <x:c r="A30" s="18" t="str">
        <x:v>2027-01-26</x:v>
      </x:c>
      <x:c r="B30" s="18" t="str">
        <x:v>S2</x:v>
      </x:c>
      <x:c r="C30" s="20" t="n">
        <x:v>26400</x:v>
      </x:c>
      <x:c r="D30" s="20" t="n">
        <x:v>3000</x:v>
      </x:c>
      <x:c r="E30" s="20" t="n">
        <x:v>800</x:v>
      </x:c>
      <x:c r="F30" s="20" t="n">
        <x:f>C30-D30-E30</x:f>
        <x:v>22600</x:v>
      </x:c>
      <x:c r="G30" s="20" t="n">
        <x:f>285</x:f>
        <x:v>285</x:v>
      </x:c>
      <x:c r="H30" s="20" t="n">
        <x:f>73</x:f>
        <x:v>73</x:v>
      </x:c>
      <x:c r="I30" s="20" t="n">
        <x:f>72</x:f>
        <x:v>72</x:v>
      </x:c>
      <x:c r="J30" s="30" t="n">
        <x:f>IFERROR(F30/C30,0)</x:f>
        <x:v>0.8560606060606061</x:v>
      </x:c>
      <x:c r="K30" s="30" t="n">
        <x:f>IFERROR(G30*H30/F30,0)</x:f>
        <x:v>0.9205752212389381</x:v>
      </x:c>
      <x:c r="L30" s="30" t="n">
        <x:f>IFERROR(I30/H30,0)</x:f>
        <x:v>0.9863013698630136</x:v>
      </x:c>
      <x:c r="M30" s="30" t="n">
        <x:f>J30*K30*L30</x:f>
        <x:v>0.7772727272727272</x:v>
      </x:c>
      <x:c r="N30" s="20" t="n">
        <x:f>C30-(D30+E30)-(F30-G30*H30)-(G30*(H30-I30))-(G30*I30)</x:f>
        <x:v>0</x:v>
      </x:c>
      <x:c r="O30" s="33" t="str">
        <x:f>IF(ABS(N30)&lt;0.01,"OK","À vérifier")</x:f>
        <x:v>OK</x:v>
      </x:c>
    </x:row>
    <x:row r="31" ht="22" customHeight="1">
      <x:c r="A31" s="18" t="str">
        <x:v>2027-01-27</x:v>
      </x:c>
      <x:c r="B31" s="18" t="str">
        <x:v>S1</x:v>
      </x:c>
      <x:c r="C31" s="20" t="n">
        <x:v>26400</x:v>
      </x:c>
      <x:c r="D31" s="20" t="n">
        <x:v>0</x:v>
      </x:c>
      <x:c r="E31" s="20" t="n">
        <x:v>836</x:v>
      </x:c>
      <x:c r="F31" s="20" t="n">
        <x:f>C31-D31-E31</x:f>
        <x:v>25564</x:v>
      </x:c>
      <x:c r="G31" s="20" t="n">
        <x:f>285</x:f>
        <x:v>285</x:v>
      </x:c>
      <x:c r="H31" s="20" t="n">
        <x:f>89</x:f>
        <x:v>89</x:v>
      </x:c>
      <x:c r="I31" s="20" t="n">
        <x:f>89</x:f>
        <x:v>89</x:v>
      </x:c>
      <x:c r="J31" s="30" t="n">
        <x:f>IFERROR(F31/C31,0)</x:f>
        <x:v>0.9683333333333334</x:v>
      </x:c>
      <x:c r="K31" s="30" t="n">
        <x:f>IFERROR(G31*H31/F31,0)</x:f>
        <x:v>0.9922156157095916</x:v>
      </x:c>
      <x:c r="L31" s="30" t="n">
        <x:f>IFERROR(I31/H31,0)</x:f>
        <x:v>1</x:v>
      </x:c>
      <x:c r="M31" s="30" t="n">
        <x:f>J31*K31*L31</x:f>
        <x:v>0.9607954545454546</x:v>
      </x:c>
      <x:c r="N31" s="20" t="n">
        <x:f>C31-(D31+E31)-(F31-G31*H31)-(G31*(H31-I31))-(G31*I31)</x:f>
        <x:v>0</x:v>
      </x:c>
      <x:c r="O31" s="33" t="str">
        <x:f>IF(ABS(N31)&lt;0.01,"OK","À vérifier")</x:f>
        <x:v>OK</x:v>
      </x:c>
    </x:row>
    <x:row r="32" ht="22" customHeight="1">
      <x:c r="A32" s="18" t="str">
        <x:v>2027-01-27</x:v>
      </x:c>
      <x:c r="B32" s="18" t="str">
        <x:v>S2</x:v>
      </x:c>
      <x:c r="C32" s="20" t="n">
        <x:v>26400</x:v>
      </x:c>
      <x:c r="D32" s="20" t="n">
        <x:v>1500</x:v>
      </x:c>
      <x:c r="E32" s="20" t="n">
        <x:v>895</x:v>
      </x:c>
      <x:c r="F32" s="20" t="n">
        <x:f>C32-D32-E32</x:f>
        <x:v>24005</x:v>
      </x:c>
      <x:c r="G32" s="20" t="n">
        <x:f>285</x:f>
        <x:v>285</x:v>
      </x:c>
      <x:c r="H32" s="20" t="n">
        <x:f>78</x:f>
        <x:v>78</x:v>
      </x:c>
      <x:c r="I32" s="20" t="n">
        <x:f>77</x:f>
        <x:v>77</x:v>
      </x:c>
      <x:c r="J32" s="30" t="n">
        <x:f>IFERROR(F32/C32,0)</x:f>
        <x:v>0.909280303030303</x:v>
      </x:c>
      <x:c r="K32" s="30" t="n">
        <x:f>IFERROR(G32*H32/F32,0)</x:f>
        <x:v>0.9260570714434493</x:v>
      </x:c>
      <x:c r="L32" s="30" t="n">
        <x:f>IFERROR(I32/H32,0)</x:f>
        <x:v>0.9871794871794872</x:v>
      </x:c>
      <x:c r="M32" s="30" t="n">
        <x:f>J32*K32*L32</x:f>
        <x:v>0.83125</x:v>
      </x:c>
      <x:c r="N32" s="20" t="n">
        <x:f>C32-(D32+E32)-(F32-G32*H32)-(G32*(H32-I32))-(G32*I32)</x:f>
        <x:v>0</x:v>
      </x:c>
      <x:c r="O32" s="33" t="str">
        <x:f>IF(ABS(N32)&lt;0.01,"OK","À vérifier")</x:f>
        <x:v>OK</x:v>
      </x:c>
    </x:row>
    <x:row r="33" ht="22" customHeight="1">
      <x:c r="A33" s="18" t="str">
        <x:v>2027-01-28</x:v>
      </x:c>
      <x:c r="B33" s="18" t="str">
        <x:v>S1</x:v>
      </x:c>
      <x:c r="C33" s="20" t="n">
        <x:v>26400</x:v>
      </x:c>
      <x:c r="D33" s="20" t="n">
        <x:v>3000</x:v>
      </x:c>
      <x:c r="E33" s="20" t="n">
        <x:v>617</x:v>
      </x:c>
      <x:c r="F33" s="20" t="n">
        <x:f>C33-D33-E33</x:f>
        <x:v>22783</x:v>
      </x:c>
      <x:c r="G33" s="20" t="n">
        <x:f>285</x:f>
        <x:v>285</x:v>
      </x:c>
      <x:c r="H33" s="20" t="n">
        <x:f>76</x:f>
        <x:v>76</x:v>
      </x:c>
      <x:c r="I33" s="20" t="n">
        <x:f>76</x:f>
        <x:v>76</x:v>
      </x:c>
      <x:c r="J33" s="30" t="n">
        <x:f>IFERROR(F33/C33,0)</x:f>
        <x:v>0.8629924242424243</x:v>
      </x:c>
      <x:c r="K33" s="30" t="n">
        <x:f>IFERROR(G33*H33/F33,0)</x:f>
        <x:v>0.950708861870693</x:v>
      </x:c>
      <x:c r="L33" s="30" t="n">
        <x:f>IFERROR(I33/H33,0)</x:f>
        <x:v>1</x:v>
      </x:c>
      <x:c r="M33" s="30" t="n">
        <x:f>J33*K33*L33</x:f>
        <x:v>0.8204545454545454</x:v>
      </x:c>
      <x:c r="N33" s="20" t="n">
        <x:f>C33-(D33+E33)-(F33-G33*H33)-(G33*(H33-I33))-(G33*I33)</x:f>
        <x:v>0</x:v>
      </x:c>
      <x:c r="O33" s="33" t="str">
        <x:f>IF(ABS(N33)&lt;0.01,"OK","À vérifier")</x:f>
        <x:v>OK</x:v>
      </x:c>
    </x:row>
    <x:row r="34" ht="22" customHeight="1">
      <x:c r="A34" s="18" t="str">
        <x:v>2027-01-28</x:v>
      </x:c>
      <x:c r="B34" s="18" t="str">
        <x:v>S2</x:v>
      </x:c>
      <x:c r="C34" s="20" t="n">
        <x:v>26400</x:v>
      </x:c>
      <x:c r="D34" s="20" t="n">
        <x:v>1500</x:v>
      </x:c>
      <x:c r="E34" s="20" t="n">
        <x:v>315</x:v>
      </x:c>
      <x:c r="F34" s="20" t="n">
        <x:f>C34-D34-E34</x:f>
        <x:v>24585</x:v>
      </x:c>
      <x:c r="G34" s="20" t="n">
        <x:f>285</x:f>
        <x:v>285</x:v>
      </x:c>
      <x:c r="H34" s="20" t="n">
        <x:f>85</x:f>
        <x:v>85</x:v>
      </x:c>
      <x:c r="I34" s="20" t="n">
        <x:f>85</x:f>
        <x:v>85</x:v>
      </x:c>
      <x:c r="J34" s="30" t="n">
        <x:f>IFERROR(F34/C34,0)</x:f>
        <x:v>0.93125</x:v>
      </x:c>
      <x:c r="K34" s="30" t="n">
        <x:f>IFERROR(G34*H34/F34,0)</x:f>
        <x:v>0.9853569249542404</x:v>
      </x:c>
      <x:c r="L34" s="30" t="n">
        <x:f>IFERROR(I34/H34,0)</x:f>
        <x:v>1</x:v>
      </x:c>
      <x:c r="M34" s="30" t="n">
        <x:f>J34*K34*L34</x:f>
        <x:v>0.9176136363636365</x:v>
      </x:c>
      <x:c r="N34" s="20" t="n">
        <x:f>C34-(D34+E34)-(F34-G34*H34)-(G34*(H34-I34))-(G34*I34)</x:f>
        <x:v>0</x:v>
      </x:c>
      <x:c r="O34" s="33" t="str">
        <x:f>IF(ABS(N34)&lt;0.01,"OK","À vérifier")</x:f>
        <x:v>OK</x:v>
      </x:c>
    </x:row>
    <x:row r="35" ht="22" customHeight="1">
      <x:c r="A35" s="18" t="str">
        <x:v>2027-01-29</x:v>
      </x:c>
      <x:c r="B35" s="18" t="str">
        <x:v>S1</x:v>
      </x:c>
      <x:c r="C35" s="20" t="n">
        <x:v>26400</x:v>
      </x:c>
      <x:c r="D35" s="20" t="n">
        <x:v>1500</x:v>
      </x:c>
      <x:c r="E35" s="20" t="n">
        <x:v>0</x:v>
      </x:c>
      <x:c r="F35" s="20" t="n">
        <x:f>C35-D35-E35</x:f>
        <x:v>24900</x:v>
      </x:c>
      <x:c r="G35" s="20" t="n">
        <x:f>285</x:f>
        <x:v>285</x:v>
      </x:c>
      <x:c r="H35" s="20" t="n">
        <x:f>79</x:f>
        <x:v>79</x:v>
      </x:c>
      <x:c r="I35" s="20" t="n">
        <x:f>76</x:f>
        <x:v>76</x:v>
      </x:c>
      <x:c r="J35" s="30" t="n">
        <x:f>IFERROR(F35/C35,0)</x:f>
        <x:v>0.9431818181818182</x:v>
      </x:c>
      <x:c r="K35" s="30" t="n">
        <x:f>IFERROR(G35*H35/F35,0)</x:f>
        <x:v>0.9042168674698795</x:v>
      </x:c>
      <x:c r="L35" s="30" t="n">
        <x:f>IFERROR(I35/H35,0)</x:f>
        <x:v>0.9620253164556962</x:v>
      </x:c>
      <x:c r="M35" s="30" t="n">
        <x:f>J35*K35*L35</x:f>
        <x:v>0.8204545454545455</x:v>
      </x:c>
      <x:c r="N35" s="20" t="n">
        <x:f>C35-(D35+E35)-(F35-G35*H35)-(G35*(H35-I35))-(G35*I35)</x:f>
        <x:v>0</x:v>
      </x:c>
      <x:c r="O35" s="33" t="str">
        <x:f>IF(ABS(N35)&lt;0.01,"OK","À vérifier")</x:f>
        <x:v>OK</x:v>
      </x:c>
    </x:row>
    <x:row r="36" ht="22" customHeight="1">
      <x:c r="A36" s="18" t="str">
        <x:v>2027-01-29</x:v>
      </x:c>
      <x:c r="B36" s="18" t="str">
        <x:v>S2</x:v>
      </x:c>
      <x:c r="C36" s="20" t="n">
        <x:v>26400</x:v>
      </x:c>
      <x:c r="D36" s="20" t="n">
        <x:v>1500</x:v>
      </x:c>
      <x:c r="E36" s="20" t="n">
        <x:v>520</x:v>
      </x:c>
      <x:c r="F36" s="20" t="n">
        <x:f>C36-D36-E36</x:f>
        <x:v>24380</x:v>
      </x:c>
      <x:c r="G36" s="20" t="n">
        <x:f>285</x:f>
        <x:v>285</x:v>
      </x:c>
      <x:c r="H36" s="20" t="n">
        <x:f>83</x:f>
        <x:v>83</x:v>
      </x:c>
      <x:c r="I36" s="20" t="n">
        <x:f>82</x:f>
        <x:v>82</x:v>
      </x:c>
      <x:c r="J36" s="30" t="n">
        <x:f>IFERROR(F36/C36,0)</x:f>
        <x:v>0.9234848484848485</x:v>
      </x:c>
      <x:c r="K36" s="30" t="n">
        <x:f>IFERROR(G36*H36/F36,0)</x:f>
        <x:v>0.9702625102543068</x:v>
      </x:c>
      <x:c r="L36" s="30" t="n">
        <x:f>IFERROR(I36/H36,0)</x:f>
        <x:v>0.9879518072289156</x:v>
      </x:c>
      <x:c r="M36" s="30" t="n">
        <x:f>J36*K36*L36</x:f>
        <x:v>0.8852272727272726</x:v>
      </x:c>
      <x:c r="N36" s="20" t="n">
        <x:f>C36-(D36+E36)-(F36-G36*H36)-(G36*(H36-I36))-(G36*I36)</x:f>
        <x:v>0</x:v>
      </x:c>
      <x:c r="O36" s="33" t="str">
        <x:f>IF(ABS(N36)&lt;0.01,"OK","À vérifier")</x:f>
        <x:v>OK</x:v>
      </x:c>
    </x:row>
    <x:row r="37" ht="22" customHeight="1">
      <x:c r="A37" s="18" t="str">
        <x:v>2027-02-01</x:v>
      </x:c>
      <x:c r="B37" s="18" t="str">
        <x:v>S1</x:v>
      </x:c>
      <x:c r="C37" s="20" t="n">
        <x:v>26400</x:v>
      </x:c>
      <x:c r="D37" s="20" t="n">
        <x:v>1500</x:v>
      </x:c>
      <x:c r="E37" s="20" t="n">
        <x:v>1086</x:v>
      </x:c>
      <x:c r="F37" s="20" t="n">
        <x:f>C37-D37-E37</x:f>
        <x:v>23814</x:v>
      </x:c>
      <x:c r="G37" s="20" t="n">
        <x:f>285</x:f>
        <x:v>285</x:v>
      </x:c>
      <x:c r="H37" s="20" t="n">
        <x:f>78</x:f>
        <x:v>78</x:v>
      </x:c>
      <x:c r="I37" s="20" t="n">
        <x:f>76</x:f>
        <x:v>76</x:v>
      </x:c>
      <x:c r="J37" s="30" t="n">
        <x:f>IFERROR(F37/C37,0)</x:f>
        <x:v>0.9020454545454546</x:v>
      </x:c>
      <x:c r="K37" s="30" t="n">
        <x:f>IFERROR(G37*H37/F37,0)</x:f>
        <x:v>0.9334845049130763</x:v>
      </x:c>
      <x:c r="L37" s="30" t="n">
        <x:f>IFERROR(I37/H37,0)</x:f>
        <x:v>0.9743589743589743</x:v>
      </x:c>
      <x:c r="M37" s="30" t="n">
        <x:f>J37*K37*L37</x:f>
        <x:v>0.8204545454545454</x:v>
      </x:c>
      <x:c r="N37" s="20" t="n">
        <x:f>C37-(D37+E37)-(F37-G37*H37)-(G37*(H37-I37))-(G37*I37)</x:f>
        <x:v>0</x:v>
      </x:c>
      <x:c r="O37" s="33" t="str">
        <x:f>IF(ABS(N37)&lt;0.01,"OK","À vérifier")</x:f>
        <x:v>OK</x:v>
      </x:c>
    </x:row>
    <x:row r="38" ht="22" customHeight="1">
      <x:c r="A38" s="18" t="str">
        <x:v>2027-02-01</x:v>
      </x:c>
      <x:c r="B38" s="18" t="str">
        <x:v>S2</x:v>
      </x:c>
      <x:c r="C38" s="20" t="n">
        <x:v>26400</x:v>
      </x:c>
      <x:c r="D38" s="20" t="n">
        <x:v>3000</x:v>
      </x:c>
      <x:c r="E38" s="20" t="n">
        <x:v>793</x:v>
      </x:c>
      <x:c r="F38" s="20" t="n">
        <x:f>C38-D38-E38</x:f>
        <x:v>22607</x:v>
      </x:c>
      <x:c r="G38" s="20" t="n">
        <x:f>285</x:f>
        <x:v>285</x:v>
      </x:c>
      <x:c r="H38" s="20" t="n">
        <x:f>72</x:f>
        <x:v>72</x:v>
      </x:c>
      <x:c r="I38" s="20" t="n">
        <x:f>70</x:f>
        <x:v>70</x:v>
      </x:c>
      <x:c r="J38" s="30" t="n">
        <x:f>IFERROR(F38/C38,0)</x:f>
        <x:v>0.8563257575757576</x:v>
      </x:c>
      <x:c r="K38" s="30" t="n">
        <x:f>IFERROR(G38*H38/F38,0)</x:f>
        <x:v>0.9076834608749502</x:v>
      </x:c>
      <x:c r="L38" s="30" t="n">
        <x:f>IFERROR(I38/H38,0)</x:f>
        <x:v>0.9722222222222222</x:v>
      </x:c>
      <x:c r="M38" s="30" t="n">
        <x:f>J38*K38*L38</x:f>
        <x:v>0.7556818181818181</x:v>
      </x:c>
      <x:c r="N38" s="20" t="n">
        <x:f>C38-(D38+E38)-(F38-G38*H38)-(G38*(H38-I38))-(G38*I38)</x:f>
        <x:v>0</x:v>
      </x:c>
      <x:c r="O38" s="33" t="str">
        <x:f>IF(ABS(N38)&lt;0.01,"OK","À vérifier")</x:f>
        <x:v>OK</x:v>
      </x:c>
    </x:row>
    <x:row r="39" ht="22" customHeight="1">
      <x:c r="A39" s="18" t="str">
        <x:v>2027-02-02</x:v>
      </x:c>
      <x:c r="B39" s="18" t="str">
        <x:v>S1</x:v>
      </x:c>
      <x:c r="C39" s="20" t="n">
        <x:v>26400</x:v>
      </x:c>
      <x:c r="D39" s="20" t="n">
        <x:v>0</x:v>
      </x:c>
      <x:c r="E39" s="20" t="n">
        <x:v>310</x:v>
      </x:c>
      <x:c r="F39" s="20" t="n">
        <x:f>C39-D39-E39</x:f>
        <x:v>26090</x:v>
      </x:c>
      <x:c r="G39" s="20" t="n">
        <x:f>285</x:f>
        <x:v>285</x:v>
      </x:c>
      <x:c r="H39" s="20" t="n">
        <x:f>89</x:f>
        <x:v>89</x:v>
      </x:c>
      <x:c r="I39" s="20" t="n">
        <x:f>88</x:f>
        <x:v>88</x:v>
      </x:c>
      <x:c r="J39" s="30" t="n">
        <x:f>IFERROR(F39/C39,0)</x:f>
        <x:v>0.9882575757575758</x:v>
      </x:c>
      <x:c r="K39" s="30" t="n">
        <x:f>IFERROR(G39*H39/F39,0)</x:f>
        <x:v>0.9722115753162132</x:v>
      </x:c>
      <x:c r="L39" s="30" t="n">
        <x:f>IFERROR(I39/H39,0)</x:f>
        <x:v>0.9887640449438202</x:v>
      </x:c>
      <x:c r="M39" s="30" t="n">
        <x:f>J39*K39*L39</x:f>
        <x:v>0.95</x:v>
      </x:c>
      <x:c r="N39" s="20" t="n">
        <x:f>C39-(D39+E39)-(F39-G39*H39)-(G39*(H39-I39))-(G39*I39)</x:f>
        <x:v>0</x:v>
      </x:c>
      <x:c r="O39" s="33" t="str">
        <x:f>IF(ABS(N39)&lt;0.01,"OK","À vérifier")</x:f>
        <x:v>OK</x:v>
      </x:c>
    </x:row>
    <x:row r="40" ht="22" customHeight="1">
      <x:c r="A40" s="18" t="str">
        <x:v>2027-02-02</x:v>
      </x:c>
      <x:c r="B40" s="18" t="str">
        <x:v>S2</x:v>
      </x:c>
      <x:c r="C40" s="20" t="n">
        <x:v>26400</x:v>
      </x:c>
      <x:c r="D40" s="20" t="n">
        <x:v>3000</x:v>
      </x:c>
      <x:c r="E40" s="20" t="n">
        <x:v>406</x:v>
      </x:c>
      <x:c r="F40" s="20" t="n">
        <x:f>C40-D40-E40</x:f>
        <x:v>22994</x:v>
      </x:c>
      <x:c r="G40" s="20" t="n">
        <x:f>285</x:f>
        <x:v>285</x:v>
      </x:c>
      <x:c r="H40" s="20" t="n">
        <x:f>75</x:f>
        <x:v>75</x:v>
      </x:c>
      <x:c r="I40" s="20" t="n">
        <x:f>74</x:f>
        <x:v>74</x:v>
      </x:c>
      <x:c r="J40" s="30" t="n">
        <x:f>IFERROR(F40/C40,0)</x:f>
        <x:v>0.8709848484848485</x:v>
      </x:c>
      <x:c r="K40" s="30" t="n">
        <x:f>IFERROR(G40*H40/F40,0)</x:f>
        <x:v>0.9295903279116291</x:v>
      </x:c>
      <x:c r="L40" s="30" t="n">
        <x:f>IFERROR(I40/H40,0)</x:f>
        <x:v>0.9866666666666667</x:v>
      </x:c>
      <x:c r="M40" s="30" t="n">
        <x:f>J40*K40*L40</x:f>
        <x:v>0.7988636363636363</x:v>
      </x:c>
      <x:c r="N40" s="20" t="n">
        <x:f>C40-(D40+E40)-(F40-G40*H40)-(G40*(H40-I40))-(G40*I40)</x:f>
        <x:v>0</x:v>
      </x:c>
      <x:c r="O40" s="33" t="str">
        <x:f>IF(ABS(N40)&lt;0.01,"OK","À vérifier")</x:f>
        <x:v>OK</x:v>
      </x:c>
    </x:row>
    <x:row r="41" ht="22" customHeight="1">
      <x:c r="A41" s="18" t="str">
        <x:v>2027-02-03</x:v>
      </x:c>
      <x:c r="B41" s="18" t="str">
        <x:v>S1</x:v>
      </x:c>
      <x:c r="C41" s="20" t="n">
        <x:v>26400</x:v>
      </x:c>
      <x:c r="D41" s="20" t="n">
        <x:v>1500</x:v>
      </x:c>
      <x:c r="E41" s="20" t="n">
        <x:v>1276</x:v>
      </x:c>
      <x:c r="F41" s="20" t="n">
        <x:f>C41-D41-E41</x:f>
        <x:v>23624</x:v>
      </x:c>
      <x:c r="G41" s="20" t="n">
        <x:f>285</x:f>
        <x:v>285</x:v>
      </x:c>
      <x:c r="H41" s="20" t="n">
        <x:f>70</x:f>
        <x:v>70</x:v>
      </x:c>
      <x:c r="I41" s="20" t="n">
        <x:f>66</x:f>
        <x:v>66</x:v>
      </x:c>
      <x:c r="J41" s="30" t="n">
        <x:f>IFERROR(F41/C41,0)</x:f>
        <x:v>0.8948484848484849</x:v>
      </x:c>
      <x:c r="K41" s="30" t="n">
        <x:f>IFERROR(G41*H41/F41,0)</x:f>
        <x:v>0.8444801896376566</x:v>
      </x:c>
      <x:c r="L41" s="30" t="n">
        <x:f>IFERROR(I41/H41,0)</x:f>
        <x:v>0.9428571428571428</x:v>
      </x:c>
      <x:c r="M41" s="30" t="n">
        <x:f>J41*K41*L41</x:f>
        <x:v>0.7125</x:v>
      </x:c>
      <x:c r="N41" s="20" t="n">
        <x:f>C41-(D41+E41)-(F41-G41*H41)-(G41*(H41-I41))-(G41*I41)</x:f>
        <x:v>0</x:v>
      </x:c>
      <x:c r="O41" s="33" t="str">
        <x:f>IF(ABS(N41)&lt;0.01,"OK","À vérifier")</x:f>
        <x:v>OK</x:v>
      </x:c>
    </x:row>
    <x:row r="42" ht="22" customHeight="1">
      <x:c r="A42" s="18" t="str">
        <x:v>2027-02-03</x:v>
      </x:c>
      <x:c r="B42" s="18" t="str">
        <x:v>S2</x:v>
      </x:c>
      <x:c r="C42" s="20" t="n">
        <x:v>26400</x:v>
      </x:c>
      <x:c r="D42" s="20" t="n">
        <x:v>1500</x:v>
      </x:c>
      <x:c r="E42" s="20" t="n">
        <x:v>134</x:v>
      </x:c>
      <x:c r="F42" s="20" t="n">
        <x:f>C42-D42-E42</x:f>
        <x:v>24766</x:v>
      </x:c>
      <x:c r="G42" s="20" t="n">
        <x:f>285</x:f>
        <x:v>285</x:v>
      </x:c>
      <x:c r="H42" s="20" t="n">
        <x:f>84</x:f>
        <x:v>84</x:v>
      </x:c>
      <x:c r="I42" s="20" t="n">
        <x:f>83</x:f>
        <x:v>83</x:v>
      </x:c>
      <x:c r="J42" s="30" t="n">
        <x:f>IFERROR(F42/C42,0)</x:f>
        <x:v>0.9381060606060606</x:v>
      </x:c>
      <x:c r="K42" s="30" t="n">
        <x:f>IFERROR(G42*H42/F42,0)</x:f>
        <x:v>0.966647823629169</x:v>
      </x:c>
      <x:c r="L42" s="30" t="n">
        <x:f>IFERROR(I42/H42,0)</x:f>
        <x:v>0.9880952380952381</x:v>
      </x:c>
      <x:c r="M42" s="30" t="n">
        <x:f>J42*K42*L42</x:f>
        <x:v>0.8960227272727274</x:v>
      </x:c>
      <x:c r="N42" s="20" t="n">
        <x:f>C42-(D42+E42)-(F42-G42*H42)-(G42*(H42-I42))-(G42*I42)</x:f>
        <x:v>0</x:v>
      </x:c>
      <x:c r="O42" s="33" t="str">
        <x:f>IF(ABS(N42)&lt;0.01,"OK","À vérifier")</x:f>
        <x:v>OK</x:v>
      </x:c>
    </x:row>
    <x:row r="43" ht="22" customHeight="1">
      <x:c r="A43" s="18" t="str">
        <x:v>2027-02-04</x:v>
      </x:c>
      <x:c r="B43" s="18" t="str">
        <x:v>S1</x:v>
      </x:c>
      <x:c r="C43" s="20" t="n">
        <x:v>26400</x:v>
      </x:c>
      <x:c r="D43" s="20" t="n">
        <x:v>1500</x:v>
      </x:c>
      <x:c r="E43" s="20" t="n">
        <x:v>996</x:v>
      </x:c>
      <x:c r="F43" s="20" t="n">
        <x:f>C43-D43-E43</x:f>
        <x:v>23904</x:v>
      </x:c>
      <x:c r="G43" s="20" t="n">
        <x:f>285</x:f>
        <x:v>285</x:v>
      </x:c>
      <x:c r="H43" s="20" t="n">
        <x:f>77</x:f>
        <x:v>77</x:v>
      </x:c>
      <x:c r="I43" s="20" t="n">
        <x:f>75</x:f>
        <x:v>75</x:v>
      </x:c>
      <x:c r="J43" s="30" t="n">
        <x:f>IFERROR(F43/C43,0)</x:f>
        <x:v>0.9054545454545454</x:v>
      </x:c>
      <x:c r="K43" s="30" t="n">
        <x:f>IFERROR(G43*H43/F43,0)</x:f>
        <x:v>0.9180471887550201</x:v>
      </x:c>
      <x:c r="L43" s="30" t="n">
        <x:f>IFERROR(I43/H43,0)</x:f>
        <x:v>0.974025974025974</x:v>
      </x:c>
      <x:c r="M43" s="30" t="n">
        <x:f>J43*K43*L43</x:f>
        <x:v>0.8096590909090908</x:v>
      </x:c>
      <x:c r="N43" s="20" t="n">
        <x:f>C43-(D43+E43)-(F43-G43*H43)-(G43*(H43-I43))-(G43*I43)</x:f>
        <x:v>0</x:v>
      </x:c>
      <x:c r="O43" s="33" t="str">
        <x:f>IF(ABS(N43)&lt;0.01,"OK","À vérifier")</x:f>
        <x:v>OK</x:v>
      </x:c>
    </x:row>
    <x:row r="44" ht="22" customHeight="1">
      <x:c r="A44" s="18" t="str">
        <x:v>2027-02-04</x:v>
      </x:c>
      <x:c r="B44" s="18" t="str">
        <x:v>S2</x:v>
      </x:c>
      <x:c r="C44" s="20" t="n">
        <x:v>26400</x:v>
      </x:c>
      <x:c r="D44" s="20" t="n">
        <x:v>1500</x:v>
      </x:c>
      <x:c r="E44" s="20" t="n">
        <x:v>671</x:v>
      </x:c>
      <x:c r="F44" s="20" t="n">
        <x:f>C44-D44-E44</x:f>
        <x:v>24229</x:v>
      </x:c>
      <x:c r="G44" s="20" t="n">
        <x:f>285</x:f>
        <x:v>285</x:v>
      </x:c>
      <x:c r="H44" s="20" t="n">
        <x:f>82</x:f>
        <x:v>82</x:v>
      </x:c>
      <x:c r="I44" s="20" t="n">
        <x:f>81</x:f>
        <x:v>81</x:v>
      </x:c>
      <x:c r="J44" s="30" t="n">
        <x:f>IFERROR(F44/C44,0)</x:f>
        <x:v>0.9177651515151515</x:v>
      </x:c>
      <x:c r="K44" s="30" t="n">
        <x:f>IFERROR(G44*H44/F44,0)</x:f>
        <x:v>0.9645466176895456</x:v>
      </x:c>
      <x:c r="L44" s="30" t="n">
        <x:f>IFERROR(I44/H44,0)</x:f>
        <x:v>0.9878048780487805</x:v>
      </x:c>
      <x:c r="M44" s="30" t="n">
        <x:f>J44*K44*L44</x:f>
        <x:v>0.8744318181818181</x:v>
      </x:c>
      <x:c r="N44" s="20" t="n">
        <x:f>C44-(D44+E44)-(F44-G44*H44)-(G44*(H44-I44))-(G44*I44)</x:f>
        <x:v>0</x:v>
      </x:c>
      <x:c r="O44" s="33" t="str">
        <x:f>IF(ABS(N44)&lt;0.01,"OK","À vérifier")</x:f>
        <x:v>OK</x:v>
      </x:c>
    </x:row>
    <x:row r="45" ht="22" customHeight="1">
      <x:c r="A45" s="18" t="str">
        <x:v>2027-02-05</x:v>
      </x:c>
      <x:c r="B45" s="18" t="str">
        <x:v>S1</x:v>
      </x:c>
      <x:c r="C45" s="20" t="n">
        <x:v>26400</x:v>
      </x:c>
      <x:c r="D45" s="20" t="n">
        <x:v>1500</x:v>
      </x:c>
      <x:c r="E45" s="20" t="n">
        <x:v>732</x:v>
      </x:c>
      <x:c r="F45" s="20" t="n">
        <x:f>C45-D45-E45</x:f>
        <x:v>24168</x:v>
      </x:c>
      <x:c r="G45" s="20" t="n">
        <x:f>285</x:f>
        <x:v>285</x:v>
      </x:c>
      <x:c r="H45" s="20" t="n">
        <x:f>78</x:f>
        <x:v>78</x:v>
      </x:c>
      <x:c r="I45" s="20" t="n">
        <x:f>75</x:f>
        <x:v>75</x:v>
      </x:c>
      <x:c r="J45" s="30" t="n">
        <x:f>IFERROR(F45/C45,0)</x:f>
        <x:v>0.9154545454545454</x:v>
      </x:c>
      <x:c r="K45" s="30" t="n">
        <x:f>IFERROR(G45*H45/F45,0)</x:f>
        <x:v>0.9198113207547169</x:v>
      </x:c>
      <x:c r="L45" s="30" t="n">
        <x:f>IFERROR(I45/H45,0)</x:f>
        <x:v>0.9615384615384616</x:v>
      </x:c>
      <x:c r="M45" s="30" t="n">
        <x:f>J45*K45*L45</x:f>
        <x:v>0.8096590909090908</x:v>
      </x:c>
      <x:c r="N45" s="20" t="n">
        <x:f>C45-(D45+E45)-(F45-G45*H45)-(G45*(H45-I45))-(G45*I45)</x:f>
        <x:v>0</x:v>
      </x:c>
      <x:c r="O45" s="33" t="str">
        <x:f>IF(ABS(N45)&lt;0.01,"OK","À vérifier")</x:f>
        <x:v>OK</x:v>
      </x:c>
    </x:row>
    <x:row r="46" ht="22" customHeight="1">
      <x:c r="A46" s="18" t="str">
        <x:v>2027-02-05</x:v>
      </x:c>
      <x:c r="B46" s="18" t="str">
        <x:v>S2</x:v>
      </x:c>
      <x:c r="C46" s="20" t="n">
        <x:v>26400</x:v>
      </x:c>
      <x:c r="D46" s="20" t="n">
        <x:v>3000</x:v>
      </x:c>
      <x:c r="E46" s="20" t="n">
        <x:v>0</x:v>
      </x:c>
      <x:c r="F46" s="20" t="n">
        <x:f>C46-D46-E46</x:f>
        <x:v>23400</x:v>
      </x:c>
      <x:c r="G46" s="20" t="n">
        <x:f>285</x:f>
        <x:v>285</x:v>
      </x:c>
      <x:c r="H46" s="20" t="n">
        <x:f>71</x:f>
        <x:v>71</x:v>
      </x:c>
      <x:c r="I46" s="20" t="n">
        <x:f>66</x:f>
        <x:v>66</x:v>
      </x:c>
      <x:c r="J46" s="30" t="n">
        <x:f>IFERROR(F46/C46,0)</x:f>
        <x:v>0.8863636363636364</x:v>
      </x:c>
      <x:c r="K46" s="30" t="n">
        <x:f>IFERROR(G46*H46/F46,0)</x:f>
        <x:v>0.8647435897435898</x:v>
      </x:c>
      <x:c r="L46" s="30" t="n">
        <x:f>IFERROR(I46/H46,0)</x:f>
        <x:v>0.9295774647887324</x:v>
      </x:c>
      <x:c r="M46" s="30" t="n">
        <x:f>J46*K46*L46</x:f>
        <x:v>0.7125</x:v>
      </x:c>
      <x:c r="N46" s="20" t="n">
        <x:f>C46-(D46+E46)-(F46-G46*H46)-(G46*(H46-I46))-(G46*I46)</x:f>
        <x:v>0</x:v>
      </x:c>
      <x:c r="O46" s="33" t="str">
        <x:f>IF(ABS(N46)&lt;0.01,"OK","À vérifier")</x:f>
        <x:v>OK</x:v>
      </x:c>
    </x:row>
  </x:sheetData>
  <x:pageMargins left="0.7" right="0.7" top="0.75" bottom="0.75" header="0.3" footer="0.3"/>
  <x:drawing xmlns:r="http://schemas.openxmlformats.org/officeDocument/2006/relationships" r:id="R8194dd7a21a34746"/>
</x:worksheet>
</file>

<file path=xl/worksheets/sheet4.xml><?xml version="1.0" encoding="utf-8"?>
<x:worksheet xmlns:x="http://schemas.openxmlformats.org/spreadsheetml/2006/main">
  <x:sheetPr>
    <x:tabColor rgb="FFE67E22"/>
  </x:sheetPr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19" hidden="0" customWidth="1"/>
    <x:col min="4" max="4" width="4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2" customHeight="1"/>
    <x:row r="2" ht="22" customHeight="1">
      <x:c r="A2" s="1" t="str">
        <x:v>EMA-120 - Décomposition des pertes ST50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3" t="str">
        <x:v>La somme des pertes et du temps productif bon réconcilie exactement le temps de production planifié.</x:v>
      </x:c>
    </x:row>
    <x:row r="5" ht="22" customHeight="1"/>
    <x:row r="6" ht="22" customHeight="1">
      <x:c r="A6" s="9" t="str">
        <x:v>Composante</x:v>
      </x:c>
      <x:c r="B6" s="9" t="str">
        <x:v>Temps (s)</x:v>
      </x:c>
      <x:c r="C6" s="9" t="str">
        <x:v>Part du planifié</x:v>
      </x:c>
      <x:c r="D6" s="9" t="str">
        <x:v>Formule / origine</x:v>
      </x:c>
    </x:row>
    <x:row r="7" ht="22" customHeight="1">
      <x:c r="A7" s="35" t="str">
        <x:v>Changements planifiés</x:v>
      </x:c>
      <x:c r="B7" s="38" t="n">
        <x:f>'Calcul OEE'!D19</x:f>
        <x:v>67500</x:v>
      </x:c>
      <x:c r="C7" s="41" t="n">
        <x:f>B7/'Calcul OEE'!C19</x:f>
        <x:v>0.06392045454545454</x:v>
      </x:c>
      <x:c r="D7" s="35" t="str">
        <x:v>Arrêts planifiés dans la fenêtre OEE</x:v>
      </x:c>
    </x:row>
    <x:row r="8" ht="22" customHeight="1">
      <x:c r="A8" s="36" t="str">
        <x:v>Arrêts non planifiés</x:v>
      </x:c>
      <x:c r="B8" s="39" t="n">
        <x:f>'Calcul OEE'!E19</x:f>
        <x:v>26035</x:v>
      </x:c>
      <x:c r="C8" s="42" t="n">
        <x:f>B8/'Calcul OEE'!C19</x:f>
        <x:v>0.02465435606060606</x:v>
      </x:c>
      <x:c r="D8" s="36" t="str">
        <x:v>Arrêts non planifiés OEE</x:v>
      </x:c>
    </x:row>
    <x:row r="9" ht="22" customHeight="1">
      <x:c r="A9" s="36" t="str">
        <x:v>Perte de performance</x:v>
      </x:c>
      <x:c r="B9" s="39" t="n">
        <x:f>'Calcul OEE'!Q19</x:f>
        <x:v>63005</x:v>
      </x:c>
      <x:c r="C9" s="42" t="n">
        <x:f>B9/'Calcul OEE'!C19</x:f>
        <x:v>0.059663825757575756</x:v>
      </x:c>
      <x:c r="D9" s="36" t="str">
        <x:v>Fonctionnement - cycle idéal x quantité totale</x:v>
      </x:c>
    </x:row>
    <x:row r="10" ht="22" customHeight="1">
      <x:c r="A10" s="36" t="str">
        <x:v>Perte de qualité</x:v>
      </x:c>
      <x:c r="B10" s="39" t="n">
        <x:f>'Calcul OEE'!R19</x:f>
        <x:v>19380</x:v>
      </x:c>
      <x:c r="C10" s="42" t="n">
        <x:f>B10/'Calcul OEE'!C19</x:f>
        <x:v>0.018352272727272727</x:v>
      </x:c>
      <x:c r="D10" s="36" t="str">
        <x:v>Cycle idéal x unités mauvaises</x:v>
      </x:c>
    </x:row>
    <x:row r="11" ht="22" customHeight="1">
      <x:c r="A11" s="37" t="str">
        <x:v>Temps productif bon</x:v>
      </x:c>
      <x:c r="B11" s="40" t="n">
        <x:f>'Calcul OEE'!S19</x:f>
        <x:v>880080</x:v>
      </x:c>
      <x:c r="C11" s="43" t="n">
        <x:f>B11/'Calcul OEE'!C19</x:f>
        <x:v>0.8334090909090909</x:v>
      </x:c>
      <x:c r="D11" s="37" t="str">
        <x:v>Cycle idéal x unités bonnes</x:v>
      </x:c>
    </x:row>
    <x:row r="12" ht="22" customHeight="1"/>
    <x:row r="13" ht="22" customHeight="1"/>
    <x:row r="14" ht="22" customHeight="1">
      <x:c r="A14" s="9" t="str">
        <x:v>Contrôle</x:v>
      </x:c>
      <x:c r="B14" s="9" t="str">
        <x:v>Valeur (s)</x:v>
      </x:c>
      <x:c r="C14" s="9" t="str">
        <x:v>Attendu</x:v>
      </x:c>
      <x:c r="D14" s="9" t="str">
        <x:v>Statut</x:v>
      </x:c>
    </x:row>
    <x:row r="15" ht="22" customHeight="1">
      <x:c r="A15" s="12" t="str">
        <x:v>Total pertes</x:v>
      </x:c>
      <x:c r="B15" s="44" t="n">
        <x:f>SUM(B7:B10)</x:f>
        <x:v>175920</x:v>
      </x:c>
      <x:c r="C15" s="44" t="n">
        <x:f>'Calcul OEE'!P19+'Calcul OEE'!Q19+'Calcul OEE'!R19</x:f>
        <x:v>175920</x:v>
      </x:c>
      <x:c r="D15" s="27" t="str">
        <x:f>IF(B15=C15,"OK","À vérifier")</x:f>
        <x:v>OK</x:v>
      </x:c>
    </x:row>
    <x:row r="16" ht="22" customHeight="1">
      <x:c r="A16" s="13" t="str">
        <x:v>Pertes + temps productif bon</x:v>
      </x:c>
      <x:c r="B16" s="45" t="n">
        <x:f>B15+B11</x:f>
        <x:v>1056000</x:v>
      </x:c>
      <x:c r="C16" s="45" t="n">
        <x:f>'Calcul OEE'!C19</x:f>
        <x:v>1056000</x:v>
      </x:c>
      <x:c r="D16" s="28" t="str">
        <x:f>IF(B16=C16,"OK","À vérifier")</x:f>
        <x:v>OK</x:v>
      </x:c>
    </x:row>
    <x:row r="17" ht="22" customHeight="1">
      <x:c r="A17" s="13" t="str">
        <x:v>Écart de réconciliation</x:v>
      </x:c>
      <x:c r="B17" s="45" t="n">
        <x:f>'Calcul OEE'!C19-B16</x:f>
        <x:v>0</x:v>
      </x:c>
      <x:c r="C17" s="45" t="n">
        <x:f>0</x:f>
        <x:v>0</x:v>
      </x:c>
      <x:c r="D17" s="28" t="str">
        <x:f>IF(ABS(B17)&lt;0.01,"OK","À vérifier")</x:f>
        <x:v>OK</x:v>
      </x:c>
    </x:row>
    <x:row r="18" ht="22" customHeight="1"/>
    <x:row r="19" ht="22" customHeight="1"/>
    <x:row r="20" ht="22" customHeight="1"/>
    <x:row r="21" ht="38" customHeight="1">
      <x:c r="A21" s="53" t="str">
        <x:v>Lecture</x:v>
      </x:c>
      <x:c r="B21" s="54" t="str">
        <x:v>La disponibilité représente la plus grande famille de pertes : 93 535 s, dont 67 500 s de changements planifiés et 26 035 s d'arrêts non planifiés.</x:v>
      </x:c>
      <x:c r="C21" s="54"/>
      <x:c r="D21" s="54"/>
      <x:c r="E21" s="54"/>
      <x:c r="F21" s="54"/>
      <x:c r="G21" s="54"/>
      <x:c r="H21" s="54"/>
      <x:c r="I21" s="54"/>
      <x:c r="J21" s="54"/>
      <x:c r="K21" s="54"/>
      <x:c r="L21" s="55"/>
    </x:row>
    <x:row r="22" ht="38" customHeight="1">
      <x:c r="A22" s="56" t="str">
        <x:v>Priorité</x:v>
      </x:c>
      <x:c r="B22" s="52" t="str">
        <x:v>Le changement de série est la première composante individuelle, juste devant la perte de performance. Le Pareto détaillé des arrêts sera traité au Jour 10.</x:v>
      </x:c>
      <x:c r="C22" s="52"/>
      <x:c r="D22" s="52"/>
      <x:c r="E22" s="52"/>
      <x:c r="F22" s="52"/>
      <x:c r="G22" s="52"/>
      <x:c r="H22" s="52"/>
      <x:c r="I22" s="52"/>
      <x:c r="J22" s="52"/>
      <x:c r="K22" s="52"/>
      <x:c r="L22" s="57"/>
    </x:row>
    <x:row r="23" ht="38" customHeight="1">
      <x:c r="A23" s="56" t="str">
        <x:v>Qualité</x:v>
      </x:c>
      <x:c r="B23" s="52" t="str">
        <x:v>La perte qualité reste limitée à 19 380 s, soit 68 unités mauvaises au premier passage sur 3 156 unités.</x:v>
      </x:c>
      <x:c r="C23" s="52"/>
      <x:c r="D23" s="52"/>
      <x:c r="E23" s="52"/>
      <x:c r="F23" s="52"/>
      <x:c r="G23" s="52"/>
      <x:c r="H23" s="52"/>
      <x:c r="I23" s="52"/>
      <x:c r="J23" s="52"/>
      <x:c r="K23" s="52"/>
      <x:c r="L23" s="57"/>
    </x:row>
    <x:row r="24" ht="38" customHeight="1">
      <x:c r="A24" s="58" t="str">
        <x:v>Contrôle</x:v>
      </x:c>
      <x:c r="B24" s="59" t="str">
        <x:v>L'écart de réconciliation est nul : chaque seconde planifiée est affectée à une perte ou au temps productif bon.</x:v>
      </x:c>
      <x:c r="C24" s="59"/>
      <x:c r="D24" s="59"/>
      <x:c r="E24" s="59"/>
      <x:c r="F24" s="59"/>
      <x:c r="G24" s="59"/>
      <x:c r="H24" s="59"/>
      <x:c r="I24" s="59"/>
      <x:c r="J24" s="59"/>
      <x:c r="K24" s="59"/>
      <x:c r="L24" s="60"/>
    </x:row>
    <x:row r="25" ht="22" customHeight="1"/>
  </x:sheetData>
  <x:mergeCells>
    <x:mergeCell ref="B21:L21"/>
    <x:mergeCell ref="B22:L22"/>
    <x:mergeCell ref="B23:L23"/>
    <x:mergeCell ref="B24:L24"/>
  </x:mergeCells>
  <x:pageMargins left="0.7" right="0.7" top="0.75" bottom="0.75" header="0.3" footer="0.3"/>
  <x:drawing xmlns:r="http://schemas.openxmlformats.org/officeDocument/2006/relationships" r:id="R89ce6e5f630044a7"/>
</x:worksheet>
</file>

<file path=xl/worksheets/sheet5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29" hidden="0" customWidth="1"/>
    <x:col min="2" max="2" width="40" hidden="0" customWidth="1"/>
    <x:col min="3" max="3" width="68" hidden="0" customWidth="1"/>
    <x:col min="4" max="4" width="32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2" customHeight="1"/>
    <x:row r="2" ht="22" customHeight="1">
      <x:c r="A2" s="1" t="str">
        <x:v>EMA-120 - Sources et conventions J09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3" t="str">
        <x:v>Périmètre principal : ST50, goulot dominant confirmé au Jour 8. Données validées au Jour 6.</x:v>
      </x:c>
    </x:row>
    <x:row r="5" ht="22" customHeight="1"/>
    <x:row r="6" ht="22" customHeight="1">
      <x:c r="A6" s="9" t="str">
        <x:v>Paramètre</x:v>
      </x:c>
      <x:c r="B6" s="9" t="str">
        <x:v>Valeur</x:v>
      </x:c>
      <x:c r="C6" s="9" t="str">
        <x:v>Unité</x:v>
      </x:c>
      <x:c r="D6" s="9" t="str">
        <x:v>Convention</x:v>
      </x:c>
    </x:row>
    <x:row r="7" ht="22" customHeight="1">
      <x:c r="A7" s="12" t="str">
        <x:v>Poste principal</x:v>
      </x:c>
      <x:c r="B7" s="14" t="str">
        <x:v>ST50</x:v>
      </x:c>
      <x:c r="C7" s="12" t="str">
        <x:v>poste</x:v>
      </x:c>
      <x:c r="D7" s="12" t="str">
        <x:v>Goulot observé dominant J08</x:v>
      </x:c>
    </x:row>
    <x:row r="8" ht="22" customHeight="1">
      <x:c r="A8" s="13" t="str">
        <x:v>Nombre d'équipes</x:v>
      </x:c>
      <x:c r="B8" s="16" t="n">
        <x:v>40</x:v>
      </x:c>
      <x:c r="C8" s="13" t="str">
        <x:v>équipes</x:v>
      </x:c>
      <x:c r="D8" s="13" t="str">
        <x:v>20 jours x 2 équipes</x:v>
      </x:c>
    </x:row>
    <x:row r="9" ht="22" customHeight="1">
      <x:c r="A9" s="13" t="str">
        <x:v>Temps planifié par équipe</x:v>
      </x:c>
      <x:c r="B9" s="16" t="n">
        <x:v>26400</x:v>
      </x:c>
      <x:c r="C9" s="13" t="str">
        <x:v>s/équipe</x:v>
      </x:c>
      <x:c r="D9" s="13" t="str">
        <x:v>440 min, changements de série inclus</x:v>
      </x:c>
    </x:row>
    <x:row r="10" ht="22" customHeight="1">
      <x:c r="A10" s="13" t="str">
        <x:v>Temps planifié total / poste</x:v>
      </x:c>
      <x:c r="B10" s="16" t="n">
        <x:v>1056000</x:v>
      </x:c>
      <x:c r="C10" s="13" t="str">
        <x:v>s</x:v>
      </x:c>
      <x:c r="D10" s="13" t="str">
        <x:v>40 équipes x 26 400 s</x:v>
      </x:c>
    </x:row>
    <x:row r="11" ht="22" customHeight="1">
      <x:c r="A11" s="13" t="str">
        <x:v>Statut de validation</x:v>
      </x:c>
      <x:c r="B11" s="15" t="str">
        <x:v>PASS</x:v>
      </x:c>
      <x:c r="C11" s="13" t="str">
        <x:v>statut</x:v>
      </x:c>
      <x:c r="D11" s="13" t="str">
        <x:v>J06 : 39 contrôles validés</x:v>
      </x:c>
    </x:row>
    <x:row r="12" ht="22" customHeight="1"/>
    <x:row r="13" ht="22" customHeight="1"/>
    <x:row r="14" ht="42" customHeight="1">
      <x:c r="A14" s="9" t="str">
        <x:v>Poste</x:v>
      </x:c>
      <x:c r="B14" s="9" t="str">
        <x:v>Processus</x:v>
      </x:c>
      <x:c r="C14" s="9" t="str">
        <x:v>Temps planifié (s)</x:v>
      </x:c>
      <x:c r="D14" s="9" t="str">
        <x:v>Arrêt planifié (s)</x:v>
      </x:c>
      <x:c r="E14" s="9" t="str">
        <x:v>Arrêt non planifié (s)</x:v>
      </x:c>
      <x:c r="F14" s="9" t="str">
        <x:v>Cycle idéal (s/u)</x:v>
      </x:c>
      <x:c r="G14" s="9" t="str">
        <x:v>Quantité totale</x:v>
      </x:c>
      <x:c r="H14" s="9" t="str">
        <x:v>Quantité bonne</x:v>
      </x:c>
      <x:c r="I14" s="9" t="str">
        <x:v>Événements d'arrêt</x:v>
      </x:c>
    </x:row>
    <x:row r="15" ht="22" customHeight="1">
      <x:c r="A15" s="17" t="str">
        <x:v>ST10</x:v>
      </x:c>
      <x:c r="B15" s="17" t="str">
        <x:v>Kitting et vérification</x:v>
      </x:c>
      <x:c r="C15" s="19" t="n">
        <x:v>1056000</x:v>
      </x:c>
      <x:c r="D15" s="19" t="n">
        <x:v>88500</x:v>
      </x:c>
      <x:c r="E15" s="19" t="n">
        <x:v>3606</x:v>
      </x:c>
      <x:c r="F15" s="19" t="n">
        <x:v>180</x:v>
      </x:c>
      <x:c r="G15" s="19" t="n">
        <x:v>4200</x:v>
      </x:c>
      <x:c r="H15" s="19" t="n">
        <x:v>4200</x:v>
      </x:c>
      <x:c r="I15" s="19" t="n">
        <x:v>123</x:v>
      </x:c>
    </x:row>
    <x:row r="16" ht="22" customHeight="1">
      <x:c r="A16" s="18" t="str">
        <x:v>ST20</x:v>
      </x:c>
      <x:c r="B16" s="18" t="str">
        <x:v>Préassemblage mécanique</x:v>
      </x:c>
      <x:c r="C16" s="20" t="n">
        <x:v>1056000</x:v>
      </x:c>
      <x:c r="D16" s="20" t="n">
        <x:v>88500</x:v>
      </x:c>
      <x:c r="E16" s="20" t="n">
        <x:v>9990</x:v>
      </x:c>
      <x:c r="F16" s="20" t="n">
        <x:v>215</x:v>
      </x:c>
      <x:c r="G16" s="20" t="n">
        <x:v>4198</x:v>
      </x:c>
      <x:c r="H16" s="20" t="n">
        <x:v>4198</x:v>
      </x:c>
      <x:c r="I16" s="20" t="n">
        <x:v>150</x:v>
      </x:c>
    </x:row>
    <x:row r="17" ht="22" customHeight="1">
      <x:c r="A17" s="18" t="str">
        <x:v>ST30</x:v>
      </x:c>
      <x:c r="B17" s="18" t="str">
        <x:v>Montage arbre et roulements</x:v>
      </x:c>
      <x:c r="C17" s="20" t="n">
        <x:v>1056000</x:v>
      </x:c>
      <x:c r="D17" s="20" t="n">
        <x:v>81000</x:v>
      </x:c>
      <x:c r="E17" s="20" t="n">
        <x:v>18160</x:v>
      </x:c>
      <x:c r="F17" s="20" t="n">
        <x:v>240</x:v>
      </x:c>
      <x:c r="G17" s="20" t="n">
        <x:v>3826</x:v>
      </x:c>
      <x:c r="H17" s="20" t="n">
        <x:v>3826</x:v>
      </x:c>
      <x:c r="I17" s="20" t="n">
        <x:v>177</x:v>
      </x:c>
    </x:row>
    <x:row r="18" ht="22" customHeight="1">
      <x:c r="A18" s="18" t="str">
        <x:v>ST40</x:v>
      </x:c>
      <x:c r="B18" s="18" t="str">
        <x:v>Assemblage et serrage contrôlé</x:v>
      </x:c>
      <x:c r="C18" s="20" t="n">
        <x:v>1056000</x:v>
      </x:c>
      <x:c r="D18" s="20" t="n">
        <x:v>81000</x:v>
      </x:c>
      <x:c r="E18" s="20" t="n">
        <x:v>9323</x:v>
      </x:c>
      <x:c r="F18" s="20" t="n">
        <x:v>225</x:v>
      </x:c>
      <x:c r="G18" s="20" t="n">
        <x:v>3821</x:v>
      </x:c>
      <x:c r="H18" s="20" t="n">
        <x:v>3797</x:v>
      </x:c>
      <x:c r="I18" s="20" t="n">
        <x:v>141</x:v>
      </x:c>
    </x:row>
    <x:row r="19" ht="22" customHeight="1">
      <x:c r="A19" s="23" t="str">
        <x:v>ST50</x:v>
      </x:c>
      <x:c r="B19" s="23" t="str">
        <x:v>Essai fonctionnel</x:v>
      </x:c>
      <x:c r="C19" s="24" t="n">
        <x:v>1056000</x:v>
      </x:c>
      <x:c r="D19" s="24" t="n">
        <x:v>67500</x:v>
      </x:c>
      <x:c r="E19" s="24" t="n">
        <x:v>26035</x:v>
      </x:c>
      <x:c r="F19" s="24" t="n">
        <x:v>285</x:v>
      </x:c>
      <x:c r="G19" s="24" t="n">
        <x:v>3156</x:v>
      </x:c>
      <x:c r="H19" s="24" t="n">
        <x:v>3088</x:v>
      </x:c>
      <x:c r="I19" s="24" t="n">
        <x:v>174</x:v>
      </x:c>
    </x:row>
    <x:row r="20" ht="22" customHeight="1">
      <x:c r="A20" s="18" t="str">
        <x:v>ST60</x:v>
      </x:c>
      <x:c r="B20" s="18" t="str">
        <x:v>Contrôle qualité</x:v>
      </x:c>
      <x:c r="C20" s="20" t="n">
        <x:v>1056000</x:v>
      </x:c>
      <x:c r="D20" s="20" t="n">
        <x:v>67500</x:v>
      </x:c>
      <x:c r="E20" s="20" t="n">
        <x:v>5228</x:v>
      </x:c>
      <x:c r="F20" s="20" t="n">
        <x:v>200</x:v>
      </x:c>
      <x:c r="G20" s="20" t="n">
        <x:v>3148</x:v>
      </x:c>
      <x:c r="H20" s="20" t="n">
        <x:v>3108</x:v>
      </x:c>
      <x:c r="I20" s="20" t="n">
        <x:v>109</x:v>
      </x:c>
    </x:row>
    <x:row r="21" ht="22" customHeight="1">
      <x:c r="A21" s="18" t="str">
        <x:v>ST70</x:v>
      </x:c>
      <x:c r="B21" s="18" t="str">
        <x:v>Identification et conditionnement</x:v>
      </x:c>
      <x:c r="C21" s="20" t="n">
        <x:v>1056000</x:v>
      </x:c>
      <x:c r="D21" s="20" t="n">
        <x:v>66000</x:v>
      </x:c>
      <x:c r="E21" s="20" t="n">
        <x:v>1684</x:v>
      </x:c>
      <x:c r="F21" s="20" t="n">
        <x:v>160</x:v>
      </x:c>
      <x:c r="G21" s="20" t="n">
        <x:v>3144</x:v>
      </x:c>
      <x:c r="H21" s="20" t="n">
        <x:v>3144</x:v>
      </x:c>
      <x:c r="I21" s="20" t="n">
        <x:v>75</x:v>
      </x:c>
    </x:row>
    <x:row r="22" ht="22" customHeight="1"/>
    <x:row r="23" ht="22" customHeight="1"/>
    <x:row r="24" ht="36" customHeight="1">
      <x:c r="A24" s="9" t="str">
        <x:v>Règle</x:v>
      </x:c>
      <x:c r="B24" s="9" t="str">
        <x:v>Définition</x:v>
      </x:c>
      <x:c r="C24" s="9" t="str">
        <x:v>Application</x:v>
      </x:c>
      <x:c r="D24" s="9" t="str">
        <x:v>Note</x:v>
      </x:c>
    </x:row>
    <x:row r="25" ht="42" customHeight="1">
      <x:c r="A25" s="25" t="str">
        <x:v>Temps de production planifié</x:v>
      </x:c>
      <x:c r="B25" s="25" t="str">
        <x:v>440 minutes complètes par équipe</x:v>
      </x:c>
      <x:c r="C25" s="25" t="str">
        <x:v>Inclut les changements planifiés</x:v>
      </x:c>
      <x:c r="D25" s="25" t="str">
        <x:v>Base de la Disponibilité</x:v>
      </x:c>
    </x:row>
    <x:row r="26" ht="42" customHeight="1">
      <x:c r="A26" s="26" t="str">
        <x:v>Temps de fonctionnement</x:v>
      </x:c>
      <x:c r="B26" s="26" t="str">
        <x:v>Temps planifié - tous les arrêts OEE</x:v>
      </x:c>
      <x:c r="C26" s="26" t="str">
        <x:v>Arrêts avec oee_loss_flag = TRUE</x:v>
      </x:c>
      <x:c r="D26" s="26" t="str">
        <x:v>Numérateur Disponibilité</x:v>
      </x:c>
    </x:row>
    <x:row r="27" ht="42" customHeight="1">
      <x:c r="A27" s="26" t="str">
        <x:v>Quantité totale</x:v>
      </x:c>
      <x:c r="B27" s="26" t="str">
        <x:v>Unités au premier passage uniquement</x:v>
      </x:c>
      <x:c r="C27" s="26" t="str">
        <x:v>Une reprise n'est pas une nouvelle unité</x:v>
      </x:c>
      <x:c r="D27" s="26" t="str">
        <x:v>Numérateur Performance</x:v>
      </x:c>
    </x:row>
    <x:row r="28" ht="42" customHeight="1">
      <x:c r="A28" s="26" t="str">
        <x:v>Quantité bonne</x:v>
      </x:c>
      <x:c r="B28" s="26" t="str">
        <x:v>PASS + ACCEPT, sans rebut, au premier passage</x:v>
      </x:c>
      <x:c r="C28" s="26" t="str">
        <x:v>Exclut reprises et rebuts</x:v>
      </x:c>
      <x:c r="D28" s="26" t="str">
        <x:v>Numérateur Qualité</x:v>
      </x:c>
    </x:row>
    <x:row r="29" ht="42" customHeight="1">
      <x:c r="A29" s="26" t="str">
        <x:v>Périmètre ligne</x:v>
      </x:c>
      <x:c r="B29" s="26" t="str">
        <x:v>TRS principal calculé sur ST50</x:v>
      </x:c>
      <x:c r="C29" s="26" t="str">
        <x:v>Les TRS poste ne sont pas moyennés</x:v>
      </x:c>
      <x:c r="D29" s="26" t="str">
        <x:v>Évite un indicateur fictif</x:v>
      </x:c>
    </x:row>
    <x:row r="30" ht="42" customHeight="1">
      <x:c r="A30" s="26" t="str">
        <x:v>Performance</x:v>
      </x:c>
      <x:c r="B30" s="26" t="str">
        <x:v>Cycle idéal x quantité totale / temps de fonctionnement</x:v>
      </x:c>
      <x:c r="C30" s="26" t="str">
        <x:v>Inclut ralentissements, micro-arrêts et attente</x:v>
      </x:c>
      <x:c r="D30" s="26" t="str">
        <x:v>Sans double comptage</x:v>
      </x:c>
    </x:row>
    <x:row r="31" ht="22" customHeight="1"/>
    <x:row r="32" ht="22" customHeight="1"/>
    <x:row r="33" ht="22" customHeight="1">
      <x:c r="A33" s="9" t="str">
        <x:v>Fichier</x:v>
      </x:c>
      <x:c r="B33" s="9" t="str">
        <x:v>Statut</x:v>
      </x:c>
      <x:c r="C33" s="9" t="str">
        <x:v>SHA-256</x:v>
      </x:c>
      <x:c r="D33" s="9" t="str">
        <x:v>Rôle</x:v>
      </x:c>
    </x:row>
    <x:row r="34" ht="22" customHeight="1">
      <x:c r="A34" s="12" t="str">
        <x:v>production.csv</x:v>
      </x:c>
      <x:c r="B34" s="27" t="str">
        <x:v>PASS</x:v>
      </x:c>
      <x:c r="C34" s="12" t="str">
        <x:v>9ea5cfff8bb382759bff0dedc4c85eccb2fa197b40844bce1e6eed8b4c426508</x:v>
      </x:c>
      <x:c r="D34" s="12" t="str">
        <x:v>Comptages premier passage</x:v>
      </x:c>
    </x:row>
    <x:row r="35" ht="22" customHeight="1">
      <x:c r="A35" s="13" t="str">
        <x:v>downtime.csv</x:v>
      </x:c>
      <x:c r="B35" s="28" t="str">
        <x:v>PASS</x:v>
      </x:c>
      <x:c r="C35" s="13" t="str">
        <x:v>9db00b36a1ee0bbf7d3703f0f8ef48de4c5b24b77bbee6f20f760921d30ece23</x:v>
      </x:c>
      <x:c r="D35" s="13" t="str">
        <x:v>Arrêts planifiés et non planifiés</x:v>
      </x:c>
    </x:row>
    <x:row r="36" ht="22" customHeight="1">
      <x:c r="A36" s="13" t="str">
        <x:v>quality.csv</x:v>
      </x:c>
      <x:c r="B36" s="28" t="str">
        <x:v>PASS</x:v>
      </x:c>
      <x:c r="C36" s="13" t="str">
        <x:v>6533b1438c24fb3d7ea3889d776a3ae2b490fe69035a30e7c87487f53ad8d60e</x:v>
      </x:c>
      <x:c r="D36" s="13" t="str">
        <x:v>Unités bonnes au premier passage</x:v>
      </x:c>
    </x:row>
    <x:row r="37" ht="22" customHeight="1">
      <x:c r="A37" s="13" t="str">
        <x:v>bottleneck_metrics.json</x:v>
      </x:c>
      <x:c r="B37" s="28" t="str">
        <x:v>PASS</x:v>
      </x:c>
      <x:c r="C37" s="13" t="str">
        <x:v>7b4e79ad2d5ec156b90b6391c77dfef47a1bb8670acad7cb33be7b97eadbfe5f</x:v>
      </x:c>
      <x:c r="D37" s="13" t="str">
        <x:v>Périmètre ST50 confirmé au J08</x:v>
      </x:c>
    </x:row>
    <x:row r="38" ht="22" customHeight="1"/>
  </x:sheetData>
  <x:pageMargins left="0.7" right="0.7" top="0.75" bottom="0.75" header="0.3" footer="0.3"/>
</x:worksheet>
</file>